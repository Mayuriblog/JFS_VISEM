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FS_VISEM\"/>
    </mc:Choice>
  </mc:AlternateContent>
  <bookViews>
    <workbookView xWindow="-110" yWindow="-110" windowWidth="19420" windowHeight="10300" activeTab="2"/>
  </bookViews>
  <sheets>
    <sheet name="TW - JFS" sheetId="13" r:id="rId1"/>
    <sheet name="TT -  VI SEM" sheetId="14" r:id="rId2"/>
    <sheet name="VI SEM" sheetId="12" r:id="rId3"/>
    <sheet name="Weekwise" sheetId="15" r:id="rId4"/>
    <sheet name="V SEM" sheetId="1" r:id="rId5"/>
    <sheet name="V" sheetId="7" r:id="rId6"/>
    <sheet name="HR" sheetId="2" r:id="rId7"/>
    <sheet name="LC" sheetId="3" r:id="rId8"/>
    <sheet name="CC" sheetId="11" r:id="rId9"/>
    <sheet name="Docs" sheetId="10" r:id="rId10"/>
    <sheet name="QUIZ" sheetId="9" r:id="rId11"/>
    <sheet name="TW" sheetId="6" r:id="rId12"/>
    <sheet name="TT" sheetId="4" r:id="rId13"/>
    <sheet name="PLINKS" sheetId="5" r:id="rId14"/>
    <sheet name="CERTIFICATES" sheetId="8" r:id="rId1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1" l="1"/>
  <c r="M15" i="11"/>
  <c r="O9" i="11"/>
  <c r="O10" i="11"/>
  <c r="O11" i="11"/>
  <c r="O12" i="11"/>
  <c r="O13" i="11"/>
  <c r="O14" i="11"/>
  <c r="O8" i="11"/>
  <c r="O15" i="11" l="1"/>
  <c r="H7" i="8"/>
  <c r="H8" i="8"/>
  <c r="H6" i="8"/>
  <c r="H10" i="8"/>
  <c r="G10" i="8"/>
  <c r="F10" i="8"/>
  <c r="F12" i="7" l="1"/>
  <c r="G8" i="5" l="1"/>
  <c r="L12" i="3"/>
  <c r="K12" i="3"/>
  <c r="J12" i="3"/>
  <c r="I12" i="3"/>
  <c r="E12" i="3"/>
  <c r="I12" i="2"/>
  <c r="J12" i="2"/>
  <c r="H12" i="2"/>
  <c r="G12" i="2"/>
  <c r="E12" i="2"/>
</calcChain>
</file>

<file path=xl/sharedStrings.xml><?xml version="1.0" encoding="utf-8"?>
<sst xmlns="http://schemas.openxmlformats.org/spreadsheetml/2006/main" count="792" uniqueCount="328">
  <si>
    <t xml:space="preserve">DBMS TRAINING SCHEDULE IN CDC </t>
  </si>
  <si>
    <t>BATCHES/DATES</t>
  </si>
  <si>
    <t>SN - B1</t>
  </si>
  <si>
    <t>SN - B2</t>
  </si>
  <si>
    <t>SUNDAY</t>
  </si>
  <si>
    <t>CIE - 1</t>
  </si>
  <si>
    <t>Dussehra Holidays</t>
  </si>
  <si>
    <t xml:space="preserve">	BONALU</t>
  </si>
  <si>
    <t xml:space="preserve">	INDEPENDENCE DAY</t>
  </si>
  <si>
    <t>SRI KRISHNA ASTAMI</t>
  </si>
  <si>
    <t>VINAYAKA CHAVITHI</t>
  </si>
  <si>
    <t xml:space="preserve">	DEEPAVALI</t>
  </si>
  <si>
    <t>KARTIKA PURNIMA / GURU NANAK’S BIRTHDAY</t>
  </si>
  <si>
    <t>HACKER RANK</t>
  </si>
  <si>
    <t>BASIC SELECT</t>
  </si>
  <si>
    <t>ADVANCED SELECT</t>
  </si>
  <si>
    <t>AGGREGATION</t>
  </si>
  <si>
    <t>BASIC JOIN</t>
  </si>
  <si>
    <t>ADVANCED JOIN</t>
  </si>
  <si>
    <t>ALTERNATIVE QUERIES</t>
  </si>
  <si>
    <t>SU - B2</t>
  </si>
  <si>
    <t>SN - B3</t>
  </si>
  <si>
    <t>NCW</t>
  </si>
  <si>
    <t>NO CLASSWORK</t>
  </si>
  <si>
    <t>TIME TABLES NOT PUBLISHED</t>
  </si>
  <si>
    <t>TPM-ERM</t>
  </si>
  <si>
    <t>LEETCODE</t>
  </si>
  <si>
    <t>SELECT</t>
  </si>
  <si>
    <t>BASIC AGGREGATE FUNCTIONS</t>
  </si>
  <si>
    <t>SORTING AND GROUPING</t>
  </si>
  <si>
    <t>ADVANCED SELECT JOIN</t>
  </si>
  <si>
    <t>SUB QUERIES</t>
  </si>
  <si>
    <t>ADVANCED STRING /REGEX/CLAUSE</t>
  </si>
  <si>
    <t>BATCHES</t>
  </si>
  <si>
    <t>BJ</t>
  </si>
  <si>
    <t>BAF</t>
  </si>
  <si>
    <t>S&amp;G</t>
  </si>
  <si>
    <t>ADV S/J</t>
  </si>
  <si>
    <t>SQ</t>
  </si>
  <si>
    <t>AS/RE/C</t>
  </si>
  <si>
    <t>TUE</t>
  </si>
  <si>
    <t>WED</t>
  </si>
  <si>
    <t>THUR</t>
  </si>
  <si>
    <t>FRI</t>
  </si>
  <si>
    <t>ER MODELING, RELATIONAL SCHEMA</t>
  </si>
  <si>
    <t>Introduction</t>
  </si>
  <si>
    <t>1.      https://leetcode.com/u/Mayuri_Kasetty/</t>
  </si>
  <si>
    <t>2.      https://www.geeksforgeeks.org/user/kmayu71ax/</t>
  </si>
  <si>
    <t>3.      https://www.codechef.com/users/mayuri_kasetty</t>
  </si>
  <si>
    <t>4.      https://www.hackerrank.com/profile/MAYURI_KASETTY</t>
  </si>
  <si>
    <t>https://onecompiler.com/users/42tqbtake</t>
  </si>
  <si>
    <t>SQL Commands and Constraints</t>
  </si>
  <si>
    <t>sololearn 31 certificates</t>
  </si>
  <si>
    <t>LC - 7</t>
  </si>
  <si>
    <t>Introduction to DBMS</t>
  </si>
  <si>
    <t>Introduction to SQL</t>
  </si>
  <si>
    <t>Datatypes</t>
  </si>
  <si>
    <t>Key Constraints</t>
  </si>
  <si>
    <t>DDL and DML</t>
  </si>
  <si>
    <t>Basic filtering with keywords and operators</t>
  </si>
  <si>
    <t>Sorting</t>
  </si>
  <si>
    <t>Aggregate Functions</t>
  </si>
  <si>
    <t>Grouping</t>
  </si>
  <si>
    <t>Basic Level</t>
  </si>
  <si>
    <t>Intermediate Level</t>
  </si>
  <si>
    <t>Advanced Level</t>
  </si>
  <si>
    <t>S. No.</t>
  </si>
  <si>
    <t>Joins</t>
  </si>
  <si>
    <t>Subqueries</t>
  </si>
  <si>
    <t>Advanced Filtering</t>
  </si>
  <si>
    <t>Set Operators</t>
  </si>
  <si>
    <t>DCL and TCL</t>
  </si>
  <si>
    <t>Views</t>
  </si>
  <si>
    <t>Indexes</t>
  </si>
  <si>
    <t>Normalization</t>
  </si>
  <si>
    <t>Stored Procedures &amp; Functions</t>
  </si>
  <si>
    <t>Triggers</t>
  </si>
  <si>
    <t>Cursors</t>
  </si>
  <si>
    <t>Error Handling</t>
  </si>
  <si>
    <t>Performance Tuning</t>
  </si>
  <si>
    <t>Advanced Window Functions</t>
  </si>
  <si>
    <t>JSON / XML in SQL</t>
  </si>
  <si>
    <t>Common Table Expressions (CTE)</t>
  </si>
  <si>
    <t>Materialized Views</t>
  </si>
  <si>
    <t>Advanced Security</t>
  </si>
  <si>
    <t>Mathematical Functions</t>
  </si>
  <si>
    <t>Date Functions</t>
  </si>
  <si>
    <t>String Functions</t>
  </si>
  <si>
    <t>Working with NULL values</t>
  </si>
  <si>
    <t>CASE Statements / IF...ELSE logic</t>
  </si>
  <si>
    <t>KC,Sorting,AF</t>
  </si>
  <si>
    <t>Basics + KC</t>
  </si>
  <si>
    <t>HR-AF-17</t>
  </si>
  <si>
    <t>LC - 12</t>
  </si>
  <si>
    <t>Q1</t>
  </si>
  <si>
    <t>Q2</t>
  </si>
  <si>
    <t>AF + GH</t>
  </si>
  <si>
    <t>AGGREGATE FUNCTION GROUP BY HAVING ORDER BY</t>
  </si>
  <si>
    <t>AND,OR,NOT,IN,ANY,ALL,LIKE,BETWEEN,EXISTS</t>
  </si>
  <si>
    <t>HR-BJ-5</t>
  </si>
  <si>
    <t>SQL-BASIC</t>
  </si>
  <si>
    <t>CERTIFICATIONS</t>
  </si>
  <si>
    <t>LEAVE</t>
  </si>
  <si>
    <t>Q3</t>
  </si>
  <si>
    <t>CERTIFICATION</t>
  </si>
  <si>
    <t>QUIZ</t>
  </si>
  <si>
    <t xml:space="preserve">AF-OB-GB-MF-DF </t>
  </si>
  <si>
    <t>JOINS,MF,DF</t>
  </si>
  <si>
    <t>HR - 20</t>
  </si>
  <si>
    <t>SN1</t>
  </si>
  <si>
    <t>SU2</t>
  </si>
  <si>
    <t>SN3</t>
  </si>
  <si>
    <t>SN2</t>
  </si>
  <si>
    <t>HOLIDAYS</t>
  </si>
  <si>
    <t>IBM SEMINAR</t>
  </si>
  <si>
    <t>SEMINAR</t>
  </si>
  <si>
    <t>SENIOR STUDENT</t>
  </si>
  <si>
    <t>fill</t>
  </si>
  <si>
    <t>Window Functions</t>
  </si>
  <si>
    <t>LC - S &amp;REG8</t>
  </si>
  <si>
    <t>LC -  BAF 3</t>
  </si>
  <si>
    <t>case study</t>
  </si>
  <si>
    <t>online business started</t>
  </si>
  <si>
    <t>LC - SG 7</t>
  </si>
  <si>
    <t>LC  BAF - 8</t>
  </si>
  <si>
    <t>LC BJ - 6</t>
  </si>
  <si>
    <t>PRACTICE</t>
  </si>
  <si>
    <t>CASE STUDY</t>
  </si>
  <si>
    <t>LC AJ-2</t>
  </si>
  <si>
    <t>HR - BS 20</t>
  </si>
  <si>
    <t>Bristom</t>
  </si>
  <si>
    <t>HR AF - 17</t>
  </si>
  <si>
    <t>LC AF - 20</t>
  </si>
  <si>
    <t>Wayground</t>
  </si>
  <si>
    <t>Quiz</t>
  </si>
  <si>
    <t>SBB2</t>
  </si>
  <si>
    <t>Java Intermediate</t>
  </si>
  <si>
    <t>Learning paths</t>
  </si>
  <si>
    <t>Web Development</t>
  </si>
  <si>
    <t>Front-end for Beginners</t>
  </si>
  <si>
    <t>Coding Foundations</t>
  </si>
  <si>
    <t>Python Developer</t>
  </si>
  <si>
    <t>Coding for Data</t>
  </si>
  <si>
    <t>Introduction Courses</t>
  </si>
  <si>
    <t>SQL</t>
  </si>
  <si>
    <t>Java</t>
  </si>
  <si>
    <t>Introduction to HTML</t>
  </si>
  <si>
    <t>Introduction to C</t>
  </si>
  <si>
    <t>Python Core</t>
  </si>
  <si>
    <t>Swift 4</t>
  </si>
  <si>
    <t>Introduction to JavaScript</t>
  </si>
  <si>
    <t>Introduction to CSS</t>
  </si>
  <si>
    <t>Introduction to Java</t>
  </si>
  <si>
    <t>HTML</t>
  </si>
  <si>
    <t>C</t>
  </si>
  <si>
    <t>JavaScript</t>
  </si>
  <si>
    <t>Introduction to Python</t>
  </si>
  <si>
    <t>Introduction to C#</t>
  </si>
  <si>
    <t>Tech for Everyone</t>
  </si>
  <si>
    <t>Introduction to C++</t>
  </si>
  <si>
    <t>Prompt Engineering</t>
  </si>
  <si>
    <t>Generative AI in Practice</t>
  </si>
  <si>
    <t>Research with AI</t>
  </si>
  <si>
    <t>Project Planning with AI</t>
  </si>
  <si>
    <t>Write with AI</t>
  </si>
  <si>
    <t>Think Creatively with AI</t>
  </si>
  <si>
    <t>Brainstorm with AI</t>
  </si>
  <si>
    <t>Introduction to LLMs</t>
  </si>
  <si>
    <t>SEO with AI</t>
  </si>
  <si>
    <t>Data Analytics with AI</t>
  </si>
  <si>
    <t>Social Media Marketing with AI</t>
  </si>
  <si>
    <t>Ethical AI Foundations</t>
  </si>
  <si>
    <t>Data Literacy with AI</t>
  </si>
  <si>
    <t>Visualize Your Data</t>
  </si>
  <si>
    <t>ML for Beginners</t>
  </si>
  <si>
    <t>Intermediate Courses</t>
  </si>
  <si>
    <t>SQL Intermediate</t>
  </si>
  <si>
    <t>C# Intermediate</t>
  </si>
  <si>
    <t>Python Intermediate</t>
  </si>
  <si>
    <t>C++ Intermediate</t>
  </si>
  <si>
    <t>Angular</t>
  </si>
  <si>
    <t>C Intermediate</t>
  </si>
  <si>
    <t>JavaScript Intermediate</t>
  </si>
  <si>
    <t>Vibe Coding</t>
  </si>
  <si>
    <t>AI-Powered A/B Testing</t>
  </si>
  <si>
    <t>Completed</t>
  </si>
  <si>
    <t>Total</t>
  </si>
  <si>
    <t>Pending</t>
  </si>
  <si>
    <t>Sololearn Platform</t>
  </si>
  <si>
    <t>DT Exam</t>
  </si>
  <si>
    <t>S.No.</t>
  </si>
  <si>
    <t xml:space="preserve">  5.        https://www.sololearn.com/en/profile/8310299</t>
  </si>
  <si>
    <t>HR BJ - 5</t>
  </si>
  <si>
    <t xml:space="preserve">LC - AJ -7 </t>
  </si>
  <si>
    <t>LC - RE 10</t>
  </si>
  <si>
    <t xml:space="preserve">HR - EXAM </t>
  </si>
  <si>
    <t>HOLIDAY</t>
  </si>
  <si>
    <t>CollegeDB</t>
  </si>
  <si>
    <t>LC - SQ 7</t>
  </si>
  <si>
    <t>EXAMS</t>
  </si>
  <si>
    <t>LC - SG -7</t>
  </si>
  <si>
    <t>LC BJ - 9</t>
  </si>
  <si>
    <t>CodeChef</t>
  </si>
  <si>
    <t>Learn SQL</t>
  </si>
  <si>
    <t>Learn Advanced SQL</t>
  </si>
  <si>
    <t>SQL Practice Queries</t>
  </si>
  <si>
    <t>SQL at Work</t>
  </si>
  <si>
    <t>SQL case studies</t>
  </si>
  <si>
    <t>Top SQL Interview Questions</t>
  </si>
  <si>
    <t>Topics</t>
  </si>
  <si>
    <t>No. of Problems</t>
  </si>
  <si>
    <t>CodeChef - CS 2</t>
  </si>
  <si>
    <t>SQL Online Test and Quiz</t>
  </si>
  <si>
    <t>Free Learning</t>
  </si>
  <si>
    <t>Paid Prob</t>
  </si>
  <si>
    <t>Monday</t>
  </si>
  <si>
    <t>Tuesday</t>
  </si>
  <si>
    <t>Wednesday</t>
  </si>
  <si>
    <t>Thursday</t>
  </si>
  <si>
    <t>Friday</t>
  </si>
  <si>
    <t>Saturday</t>
  </si>
  <si>
    <t>Sunday</t>
  </si>
  <si>
    <t>PONGAL VACATION</t>
  </si>
  <si>
    <t>CHRISTMAS</t>
  </si>
  <si>
    <t>REPUBLIC DAY</t>
  </si>
  <si>
    <t>MONDAY</t>
  </si>
  <si>
    <t>TUESDAY</t>
  </si>
  <si>
    <t>WEDNESDAY</t>
  </si>
  <si>
    <t>THURSDAY</t>
  </si>
  <si>
    <t>FRIDAY</t>
  </si>
  <si>
    <t>SATURDAY</t>
  </si>
  <si>
    <t>SU - III - SEM</t>
  </si>
  <si>
    <t>SB3</t>
  </si>
  <si>
    <t>Git Overview</t>
  </si>
  <si>
    <t>Static Web Pages</t>
  </si>
  <si>
    <t>Simple java program using Maven</t>
  </si>
  <si>
    <t>JDBC Application using Maven</t>
  </si>
  <si>
    <t xml:space="preserve">Java Web Project using Maven </t>
  </si>
  <si>
    <t>JDBC Application using Eclipse</t>
  </si>
  <si>
    <t>Java Web Project using Eclipse</t>
  </si>
  <si>
    <t>Hibernate ORM using Eclipse</t>
  </si>
  <si>
    <t>Overview on Microservices Architecture</t>
  </si>
  <si>
    <t>Working with Microservices using sts tool</t>
  </si>
  <si>
    <t>Spring Boot With Microservices using sts</t>
  </si>
  <si>
    <t>REST API Integration</t>
  </si>
  <si>
    <t>Week</t>
  </si>
  <si>
    <t>Week Title</t>
  </si>
  <si>
    <t>Week 1</t>
  </si>
  <si>
    <t>Introduction to Git &amp; Version Control</t>
  </si>
  <si>
    <t>Week 2</t>
  </si>
  <si>
    <t>Static Web Page Development</t>
  </si>
  <si>
    <t>Week 3</t>
  </si>
  <si>
    <t>Maven Fundamentals</t>
  </si>
  <si>
    <t>Week 4</t>
  </si>
  <si>
    <t>Java Programming Using Maven</t>
  </si>
  <si>
    <t>Week 5</t>
  </si>
  <si>
    <t>JDBC Application Using Maven</t>
  </si>
  <si>
    <t>Week 6</t>
  </si>
  <si>
    <t>Java Web Project Using Maven (Servlet + JSP)</t>
  </si>
  <si>
    <t>Week 7</t>
  </si>
  <si>
    <t>JDBC Application Using Eclipse IDE</t>
  </si>
  <si>
    <t>Week 8</t>
  </si>
  <si>
    <t>Java Web Project Using Eclipse IDE</t>
  </si>
  <si>
    <t>Week 9</t>
  </si>
  <si>
    <t>Hibernate ORM Using Eclipse</t>
  </si>
  <si>
    <t>Week 10</t>
  </si>
  <si>
    <t>Microservices Architecture Overview</t>
  </si>
  <si>
    <t>Week 11</t>
  </si>
  <si>
    <t>Spring Boot Fundamentals</t>
  </si>
  <si>
    <t>Topics Covered</t>
  </si>
  <si>
    <t>Git overview, installation, GitHub usage, basic commands (init, clone, commit, push, pull)</t>
  </si>
  <si>
    <t>HTML basics, CSS fundamentals, building simple static pages, hosting static pages</t>
  </si>
  <si>
    <t>Installing Maven, folder structure, lifecycle, creating first Maven project</t>
  </si>
  <si>
    <t>Writing Java code inside Maven, adding dependencies, plugins, packaging &amp; running JAR</t>
  </si>
  <si>
    <t>MySQL setup, JDBC driver, CRUD operations, building JDBC Maven project</t>
  </si>
  <si>
    <t>Web application structure, servlets, JSP, WAR packaging, deploying on Tomcat</t>
  </si>
  <si>
    <t>JDBC configuration in Eclipse, DAO layer, CRUD operations, testing</t>
  </si>
  <si>
    <t>Creating Dynamic Web Project, servlets + JSP, JSTL, deployment on Tomcat</t>
  </si>
  <si>
    <t>Hibernate configuration, SessionFactory, entity mapping, CRUD operations</t>
  </si>
  <si>
    <t>Monolithic vs Microservices, architecture components, gateway, registry, benefits &amp; challenges</t>
  </si>
  <si>
    <t>Creating Spring Boot app, annotations, REST controllers, running services</t>
  </si>
  <si>
    <t>Week 12</t>
  </si>
  <si>
    <t>Microservices Development Using STS (Part 1)</t>
  </si>
  <si>
    <t>Creating microservices in STS, Config Server, Eureka Server, service registration</t>
  </si>
  <si>
    <t>Week 13</t>
  </si>
  <si>
    <t>Spring Boot Microservices (Part 2)</t>
  </si>
  <si>
    <t>API Gateway, Feign client, load balancing, centralized configuration</t>
  </si>
  <si>
    <t>Week 14</t>
  </si>
  <si>
    <t>REST Template/WebClient, JSON data handling, calling external REST APIs</t>
  </si>
  <si>
    <t>Week 15</t>
  </si>
  <si>
    <t>Capstone Project – End-to-End Development</t>
  </si>
  <si>
    <t>Complete project using Maven, JDBC, Servlets, Hibernate, Microservices &amp; REST integration</t>
  </si>
  <si>
    <t>WEEK</t>
  </si>
  <si>
    <t>Employee _JDBC through Maven</t>
  </si>
  <si>
    <t>Git Overview , Web page 1 - Inventor list</t>
  </si>
  <si>
    <t>Web page 2 - Course Registration Form</t>
  </si>
  <si>
    <t xml:space="preserve">Web page 3 - Pat timetable </t>
  </si>
  <si>
    <t>Maven Overview :Simple Java Projects through Maven</t>
  </si>
  <si>
    <t>Student_JDBC through maven</t>
  </si>
  <si>
    <t>BOXERS DAY</t>
  </si>
  <si>
    <t>SRI RAMA NAVAMI</t>
  </si>
  <si>
    <t>RAMZAN</t>
  </si>
  <si>
    <t>UGADI</t>
  </si>
  <si>
    <t>HOLI</t>
  </si>
  <si>
    <t>PAT - Agentic AI workshop</t>
  </si>
  <si>
    <t>Student_JDBC through maven - add functionality</t>
  </si>
  <si>
    <t>branch wise count</t>
  </si>
  <si>
    <t>Employee _webapp through Maven</t>
  </si>
  <si>
    <t>WebappDemo,Employee _webapp through Maven</t>
  </si>
  <si>
    <t>Student_JDBC through maven,WebappDemo</t>
  </si>
  <si>
    <t>Leave</t>
  </si>
  <si>
    <t>Git Overview , Web pages - Inventor list,Course Registration,PAT timetable</t>
  </si>
  <si>
    <t>Maven Overview :Simple Java Projects through Maven (JavaDemo,Palindrome,Fibonacci,PrimeNumber,ReverseString</t>
  </si>
  <si>
    <t>Web Applications through Maven (WebappDemo,employee-webapp,student-webapp)</t>
  </si>
  <si>
    <t>Hibernate ORM project using Maven (hibernate-employee,hibernate-student)</t>
  </si>
  <si>
    <t>No  Classwork</t>
  </si>
  <si>
    <t>Student _webapp through Maven,hibernate-employee</t>
  </si>
  <si>
    <t>SN B1</t>
  </si>
  <si>
    <t>SN B2</t>
  </si>
  <si>
    <t>Develop hibernate-student application</t>
  </si>
  <si>
    <t>JDBC Connectivity Applications through Maven (employee-jdbc,student-jdbc) -employee(id,name,email,salary) student (id,name,sem dept)</t>
  </si>
  <si>
    <t xml:space="preserve">  </t>
  </si>
  <si>
    <t>Employee _JDBC ,student_jdbc through Maven</t>
  </si>
  <si>
    <t>SB B3</t>
  </si>
  <si>
    <t>Bootcamp</t>
  </si>
  <si>
    <t>Virtusa Training</t>
  </si>
  <si>
    <t>Hibernate OTM and MTO in Eclipse IDE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</si>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</sst>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0" borderId="0" xfId="0" applyFill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14" fontId="0" fillId="0" borderId="0" xfId="0" applyNumberFormat="1"/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2" fillId="0" borderId="0" xfId="1" applyAlignment="1">
      <alignment horizontal="left" vertical="center" indent="7"/>
    </xf>
    <xf numFmtId="0" fontId="2" fillId="0" borderId="0" xfId="1"/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4" borderId="1" xfId="0" applyFill="1" applyBorder="1"/>
    <xf numFmtId="0" fontId="0" fillId="18" borderId="1" xfId="0" applyFill="1" applyBorder="1" applyAlignment="1">
      <alignment horizontal="center"/>
    </xf>
    <xf numFmtId="0" fontId="0" fillId="15" borderId="1" xfId="0" applyFill="1" applyBorder="1" applyAlignment="1">
      <alignment vertical="center"/>
    </xf>
    <xf numFmtId="0" fontId="0" fillId="15" borderId="1" xfId="0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/>
    <xf numFmtId="0" fontId="0" fillId="19" borderId="0" xfId="0" applyFill="1"/>
    <xf numFmtId="0" fontId="1" fillId="0" borderId="0" xfId="0" applyFont="1" applyAlignment="1">
      <alignment horizontal="center"/>
    </xf>
    <xf numFmtId="0" fontId="0" fillId="4" borderId="1" xfId="0" applyFill="1" applyBorder="1" applyAlignment="1">
      <alignment vertical="center"/>
    </xf>
    <xf numFmtId="0" fontId="0" fillId="1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0" fillId="0" borderId="1" xfId="0" applyFont="1" applyBorder="1"/>
    <xf numFmtId="0" fontId="1" fillId="3" borderId="14" xfId="0" applyFont="1" applyFill="1" applyBorder="1"/>
    <xf numFmtId="0" fontId="1" fillId="3" borderId="1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0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1" borderId="1" xfId="0" applyFill="1" applyBorder="1"/>
    <xf numFmtId="0" fontId="0" fillId="2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6" borderId="5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0" fillId="23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CC"/>
      <color rgb="FF6699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88900</xdr:rowOff>
    </xdr:from>
    <xdr:to>
      <xdr:col>12</xdr:col>
      <xdr:colOff>101958</xdr:colOff>
      <xdr:row>20</xdr:row>
      <xdr:rowOff>12885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88900"/>
          <a:ext cx="6972658" cy="3606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0</xdr:row>
      <xdr:rowOff>0</xdr:rowOff>
    </xdr:from>
    <xdr:to>
      <xdr:col>14</xdr:col>
      <xdr:colOff>521045</xdr:colOff>
      <xdr:row>21</xdr:row>
      <xdr:rowOff>178008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0" y="0"/>
          <a:ext cx="6712295" cy="4045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dechef.com/users/mayuri_kasetty" TargetMode="External"/><Relationship Id="rId2" Type="http://schemas.openxmlformats.org/officeDocument/2006/relationships/hyperlink" Target="https://www.geeksforgeeks.org/user/kmayu71ax/" TargetMode="External"/><Relationship Id="rId1" Type="http://schemas.openxmlformats.org/officeDocument/2006/relationships/hyperlink" Target="https://leetcode.com/u/Mayuri_Kasetty/" TargetMode="External"/><Relationship Id="rId4" Type="http://schemas.openxmlformats.org/officeDocument/2006/relationships/hyperlink" Target="https://www.hackerrank.com/profile/MAYURI_KASETTY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19"/>
  <sheetViews>
    <sheetView topLeftCell="E1" workbookViewId="0">
      <selection activeCell="F12" sqref="F12"/>
    </sheetView>
  </sheetViews>
  <sheetFormatPr defaultRowHeight="14.5" x14ac:dyDescent="0.35"/>
  <cols>
    <col min="4" max="4" width="34.26953125" bestFit="1" customWidth="1"/>
    <col min="9" max="9" width="39.26953125" bestFit="1" customWidth="1"/>
    <col min="10" max="10" width="80.453125" bestFit="1" customWidth="1"/>
  </cols>
  <sheetData>
    <row r="4" spans="3:10" x14ac:dyDescent="0.35">
      <c r="H4" s="53" t="s">
        <v>245</v>
      </c>
      <c r="I4" s="53" t="s">
        <v>246</v>
      </c>
      <c r="J4" s="53" t="s">
        <v>269</v>
      </c>
    </row>
    <row r="5" spans="3:10" x14ac:dyDescent="0.35">
      <c r="C5" s="1">
        <v>1</v>
      </c>
      <c r="D5" t="s">
        <v>233</v>
      </c>
      <c r="H5" s="2" t="s">
        <v>247</v>
      </c>
      <c r="I5" s="45" t="s">
        <v>248</v>
      </c>
      <c r="J5" s="2" t="s">
        <v>270</v>
      </c>
    </row>
    <row r="6" spans="3:10" x14ac:dyDescent="0.35">
      <c r="C6" s="1">
        <v>2</v>
      </c>
      <c r="D6" t="s">
        <v>234</v>
      </c>
      <c r="H6" s="2" t="s">
        <v>249</v>
      </c>
      <c r="I6" s="45" t="s">
        <v>250</v>
      </c>
      <c r="J6" s="2" t="s">
        <v>271</v>
      </c>
    </row>
    <row r="7" spans="3:10" x14ac:dyDescent="0.35">
      <c r="C7" s="1">
        <v>3</v>
      </c>
      <c r="D7" t="s">
        <v>235</v>
      </c>
      <c r="H7" s="2" t="s">
        <v>251</v>
      </c>
      <c r="I7" s="45" t="s">
        <v>252</v>
      </c>
      <c r="J7" s="2" t="s">
        <v>272</v>
      </c>
    </row>
    <row r="8" spans="3:10" x14ac:dyDescent="0.35">
      <c r="C8" s="1">
        <v>4</v>
      </c>
      <c r="D8" t="s">
        <v>236</v>
      </c>
      <c r="H8" s="2" t="s">
        <v>253</v>
      </c>
      <c r="I8" s="45" t="s">
        <v>254</v>
      </c>
      <c r="J8" s="2" t="s">
        <v>273</v>
      </c>
    </row>
    <row r="9" spans="3:10" x14ac:dyDescent="0.35">
      <c r="C9" s="1">
        <v>5</v>
      </c>
      <c r="D9" t="s">
        <v>237</v>
      </c>
      <c r="H9" s="2" t="s">
        <v>255</v>
      </c>
      <c r="I9" s="45" t="s">
        <v>256</v>
      </c>
      <c r="J9" s="2" t="s">
        <v>274</v>
      </c>
    </row>
    <row r="10" spans="3:10" x14ac:dyDescent="0.35">
      <c r="C10" s="1">
        <v>6</v>
      </c>
      <c r="D10" t="s">
        <v>238</v>
      </c>
      <c r="H10" s="2" t="s">
        <v>257</v>
      </c>
      <c r="I10" s="45" t="s">
        <v>258</v>
      </c>
      <c r="J10" s="2" t="s">
        <v>275</v>
      </c>
    </row>
    <row r="11" spans="3:10" x14ac:dyDescent="0.35">
      <c r="C11" s="1">
        <v>7</v>
      </c>
      <c r="D11" t="s">
        <v>239</v>
      </c>
      <c r="H11" s="2" t="s">
        <v>259</v>
      </c>
      <c r="I11" s="2" t="s">
        <v>260</v>
      </c>
      <c r="J11" s="2" t="s">
        <v>276</v>
      </c>
    </row>
    <row r="12" spans="3:10" x14ac:dyDescent="0.35">
      <c r="C12" s="1">
        <v>8</v>
      </c>
      <c r="D12" t="s">
        <v>240</v>
      </c>
      <c r="H12" s="2" t="s">
        <v>261</v>
      </c>
      <c r="I12" s="2" t="s">
        <v>262</v>
      </c>
      <c r="J12" s="2" t="s">
        <v>277</v>
      </c>
    </row>
    <row r="13" spans="3:10" x14ac:dyDescent="0.35">
      <c r="C13" s="1">
        <v>9</v>
      </c>
      <c r="D13" t="s">
        <v>241</v>
      </c>
      <c r="H13" s="2" t="s">
        <v>263</v>
      </c>
      <c r="I13" s="2" t="s">
        <v>264</v>
      </c>
      <c r="J13" s="2" t="s">
        <v>278</v>
      </c>
    </row>
    <row r="14" spans="3:10" x14ac:dyDescent="0.35">
      <c r="C14" s="1">
        <v>10</v>
      </c>
      <c r="D14" t="s">
        <v>242</v>
      </c>
      <c r="H14" s="2" t="s">
        <v>265</v>
      </c>
      <c r="I14" s="2" t="s">
        <v>266</v>
      </c>
      <c r="J14" s="2" t="s">
        <v>279</v>
      </c>
    </row>
    <row r="15" spans="3:10" x14ac:dyDescent="0.35">
      <c r="C15" s="1">
        <v>11</v>
      </c>
      <c r="D15" t="s">
        <v>243</v>
      </c>
      <c r="H15" s="2" t="s">
        <v>267</v>
      </c>
      <c r="I15" s="2" t="s">
        <v>268</v>
      </c>
      <c r="J15" s="2" t="s">
        <v>280</v>
      </c>
    </row>
    <row r="16" spans="3:10" x14ac:dyDescent="0.35">
      <c r="C16" s="1">
        <v>12</v>
      </c>
      <c r="D16" t="s">
        <v>244</v>
      </c>
      <c r="H16" s="2" t="s">
        <v>281</v>
      </c>
      <c r="I16" s="2" t="s">
        <v>282</v>
      </c>
      <c r="J16" s="2" t="s">
        <v>283</v>
      </c>
    </row>
    <row r="17" spans="8:10" x14ac:dyDescent="0.35">
      <c r="H17" s="2" t="s">
        <v>284</v>
      </c>
      <c r="I17" s="2" t="s">
        <v>285</v>
      </c>
      <c r="J17" s="2" t="s">
        <v>286</v>
      </c>
    </row>
    <row r="18" spans="8:10" x14ac:dyDescent="0.35">
      <c r="H18" s="2" t="s">
        <v>287</v>
      </c>
      <c r="I18" s="2" t="s">
        <v>244</v>
      </c>
      <c r="J18" s="2" t="s">
        <v>288</v>
      </c>
    </row>
    <row r="19" spans="8:10" x14ac:dyDescent="0.35">
      <c r="H19" s="2" t="s">
        <v>289</v>
      </c>
      <c r="I19" s="2" t="s">
        <v>290</v>
      </c>
      <c r="J19" s="2" t="s">
        <v>291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2:P3"/>
  <sheetViews>
    <sheetView workbookViewId="0">
      <selection activeCell="P7" sqref="P7"/>
    </sheetView>
  </sheetViews>
  <sheetFormatPr defaultRowHeight="14.5" x14ac:dyDescent="0.35"/>
  <cols>
    <col min="14" max="14" width="8.7265625" style="51"/>
    <col min="15" max="15" width="16.26953125" style="51" customWidth="1"/>
    <col min="16" max="16" width="14.90625" style="51" bestFit="1" customWidth="1"/>
  </cols>
  <sheetData>
    <row r="2" spans="14:16" x14ac:dyDescent="0.35">
      <c r="N2" s="1" t="s">
        <v>292</v>
      </c>
    </row>
    <row r="3" spans="14:16" x14ac:dyDescent="0.35">
      <c r="N3" s="1">
        <v>1</v>
      </c>
      <c r="O3" s="51" t="s">
        <v>233</v>
      </c>
      <c r="P3" s="51" t="s">
        <v>234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tabSelected="1" topLeftCell="A70" zoomScale="115" zoomScaleNormal="115" workbookViewId="0">
      <selection activeCell="D83" sqref="D83"/>
    </sheetView>
  </sheetViews>
  <sheetFormatPr defaultRowHeight="14.5" x14ac:dyDescent="0.35"/>
  <cols>
    <col min="1" max="1" width="10.6328125" style="51" bestFit="1" customWidth="1"/>
    <col min="2" max="2" width="14.6328125" bestFit="1" customWidth="1"/>
    <col min="3" max="3" width="47.453125" customWidth="1"/>
    <col min="4" max="4" width="46.453125" bestFit="1" customWidth="1"/>
    <col min="5" max="5" width="45.90625" customWidth="1"/>
    <col min="6" max="6" width="16.08984375" bestFit="1" customWidth="1"/>
    <col min="7" max="7" width="13.90625" bestFit="1" customWidth="1"/>
  </cols>
  <sheetData>
    <row r="1" spans="1:14" x14ac:dyDescent="0.35"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x14ac:dyDescent="0.35">
      <c r="B2" s="49" t="s">
        <v>1</v>
      </c>
      <c r="C2" s="18" t="s">
        <v>109</v>
      </c>
      <c r="D2" s="50" t="s">
        <v>112</v>
      </c>
      <c r="E2" s="50" t="s">
        <v>232</v>
      </c>
      <c r="F2" s="50"/>
      <c r="G2" s="50"/>
      <c r="H2" s="50"/>
      <c r="I2" s="50"/>
      <c r="J2" s="50"/>
      <c r="K2" s="50"/>
      <c r="L2" s="50"/>
      <c r="M2" s="50"/>
      <c r="N2" s="50"/>
    </row>
    <row r="3" spans="1:14" x14ac:dyDescent="0.35">
      <c r="A3" s="51" t="s">
        <v>215</v>
      </c>
      <c r="B3" s="3">
        <v>45992</v>
      </c>
      <c r="C3" s="2" t="s">
        <v>294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5">
      <c r="A4" s="51" t="s">
        <v>216</v>
      </c>
      <c r="B4" s="3">
        <v>45993</v>
      </c>
      <c r="C4" s="2" t="s">
        <v>295</v>
      </c>
      <c r="D4" s="2"/>
      <c r="E4" s="2" t="s">
        <v>294</v>
      </c>
      <c r="F4" s="2"/>
      <c r="G4" s="2"/>
      <c r="H4" s="2"/>
      <c r="I4" s="2"/>
      <c r="J4" s="2"/>
      <c r="K4" s="2"/>
      <c r="L4" s="2"/>
      <c r="M4" s="2"/>
      <c r="N4" s="2"/>
    </row>
    <row r="5" spans="1:14" x14ac:dyDescent="0.35">
      <c r="A5" s="51" t="s">
        <v>217</v>
      </c>
      <c r="B5" s="3">
        <v>45994</v>
      </c>
      <c r="C5" s="2"/>
      <c r="D5" s="2" t="s">
        <v>294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51" t="s">
        <v>218</v>
      </c>
      <c r="B6" s="3">
        <v>45995</v>
      </c>
      <c r="C6" s="2" t="s">
        <v>296</v>
      </c>
      <c r="D6" s="2"/>
      <c r="E6" s="2" t="s">
        <v>296</v>
      </c>
      <c r="F6" s="2"/>
      <c r="G6" s="2"/>
      <c r="H6" s="2"/>
      <c r="I6" s="2"/>
      <c r="J6" s="2"/>
      <c r="K6" s="2"/>
      <c r="L6" s="2"/>
      <c r="M6" s="2"/>
      <c r="N6" s="2"/>
    </row>
    <row r="7" spans="1:14" x14ac:dyDescent="0.35">
      <c r="A7" s="51" t="s">
        <v>219</v>
      </c>
      <c r="B7" s="3">
        <v>45996</v>
      </c>
      <c r="C7" s="2"/>
      <c r="D7" s="2" t="s">
        <v>295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5">
      <c r="A8" s="51" t="s">
        <v>220</v>
      </c>
      <c r="B8" s="3">
        <v>45997</v>
      </c>
      <c r="C8" s="2" t="s">
        <v>297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5">
      <c r="A9" s="51" t="s">
        <v>221</v>
      </c>
      <c r="B9" s="3">
        <v>45998</v>
      </c>
      <c r="C9" s="56" t="s">
        <v>221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8"/>
    </row>
    <row r="10" spans="1:14" x14ac:dyDescent="0.35">
      <c r="A10" s="51" t="s">
        <v>215</v>
      </c>
      <c r="B10" s="3">
        <v>45999</v>
      </c>
      <c r="C10" s="2" t="s">
        <v>293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5">
      <c r="A11" s="51" t="s">
        <v>216</v>
      </c>
      <c r="B11" s="3">
        <v>46000</v>
      </c>
      <c r="C11" s="2"/>
      <c r="D11" s="2" t="s">
        <v>297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5">
      <c r="A12" s="51" t="s">
        <v>217</v>
      </c>
      <c r="B12" s="3">
        <v>46001</v>
      </c>
      <c r="C12" s="2"/>
      <c r="D12" s="2"/>
      <c r="E12" s="2" t="s">
        <v>294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5">
      <c r="A13" s="51" t="s">
        <v>218</v>
      </c>
      <c r="B13" s="3">
        <v>46002</v>
      </c>
      <c r="C13" s="2" t="s">
        <v>298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5">
      <c r="A14" s="51" t="s">
        <v>219</v>
      </c>
      <c r="B14" s="3">
        <v>46003</v>
      </c>
      <c r="C14" s="2"/>
      <c r="D14" s="2" t="s">
        <v>293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5">
      <c r="A15" s="51" t="s">
        <v>220</v>
      </c>
      <c r="B15" s="3">
        <v>46004</v>
      </c>
      <c r="C15" s="2"/>
      <c r="D15" s="2"/>
      <c r="E15" s="54" t="s">
        <v>304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5">
      <c r="A16" s="51" t="s">
        <v>221</v>
      </c>
      <c r="B16" s="3">
        <v>46005</v>
      </c>
      <c r="C16" s="56" t="s">
        <v>221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/>
    </row>
    <row r="17" spans="1:14" x14ac:dyDescent="0.35">
      <c r="A17" s="51" t="s">
        <v>215</v>
      </c>
      <c r="B17" s="3">
        <v>46006</v>
      </c>
      <c r="C17" s="2" t="s">
        <v>305</v>
      </c>
      <c r="D17" s="2"/>
      <c r="E17" s="2"/>
      <c r="F17" s="2" t="s">
        <v>306</v>
      </c>
      <c r="G17" s="2"/>
      <c r="H17" s="2"/>
      <c r="I17" s="2"/>
      <c r="J17" s="2"/>
      <c r="K17" s="2"/>
      <c r="L17" s="2"/>
      <c r="M17" s="2"/>
      <c r="N17" s="2"/>
    </row>
    <row r="18" spans="1:14" x14ac:dyDescent="0.35">
      <c r="A18" s="51" t="s">
        <v>216</v>
      </c>
      <c r="B18" s="3">
        <v>46007</v>
      </c>
      <c r="C18" s="2"/>
      <c r="D18" s="2" t="s">
        <v>309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5">
      <c r="A19" s="51" t="s">
        <v>217</v>
      </c>
      <c r="B19" s="3">
        <v>46008</v>
      </c>
      <c r="C19" s="2"/>
      <c r="D19" s="2"/>
      <c r="E19" s="2" t="s">
        <v>297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5">
      <c r="A20" s="51" t="s">
        <v>218</v>
      </c>
      <c r="B20" s="3">
        <v>46009</v>
      </c>
      <c r="C20" s="2" t="s">
        <v>308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5">
      <c r="A21" s="51" t="s">
        <v>219</v>
      </c>
      <c r="B21" s="3">
        <v>46010</v>
      </c>
      <c r="C21" s="2"/>
      <c r="D21" s="2" t="s">
        <v>307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5">
      <c r="A22" s="51" t="s">
        <v>220</v>
      </c>
      <c r="B22" s="3">
        <v>46011</v>
      </c>
      <c r="C22" s="2"/>
      <c r="D22" s="2"/>
      <c r="E22" s="54" t="s">
        <v>304</v>
      </c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5">
      <c r="A23" s="51" t="s">
        <v>221</v>
      </c>
      <c r="B23" s="3">
        <v>46012</v>
      </c>
      <c r="C23" s="56" t="s">
        <v>221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8"/>
    </row>
    <row r="24" spans="1:14" x14ac:dyDescent="0.35">
      <c r="A24" s="51" t="s">
        <v>215</v>
      </c>
      <c r="B24" s="3">
        <v>46013</v>
      </c>
      <c r="C24" s="2" t="s">
        <v>316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5">
      <c r="A25" s="51" t="s">
        <v>216</v>
      </c>
      <c r="B25" s="3">
        <v>46014</v>
      </c>
      <c r="C25" s="2"/>
      <c r="D25" s="2" t="s">
        <v>316</v>
      </c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A26" s="51" t="s">
        <v>217</v>
      </c>
      <c r="B26" s="3">
        <v>46015</v>
      </c>
      <c r="C26" s="2"/>
      <c r="D26" s="2"/>
      <c r="E26" s="55" t="s">
        <v>310</v>
      </c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A27" s="51" t="s">
        <v>218</v>
      </c>
      <c r="B27" s="3">
        <v>46016</v>
      </c>
      <c r="C27" s="68" t="s">
        <v>223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70"/>
    </row>
    <row r="28" spans="1:14" x14ac:dyDescent="0.35">
      <c r="A28" s="51" t="s">
        <v>219</v>
      </c>
      <c r="B28" s="3">
        <v>46017</v>
      </c>
      <c r="C28" s="68" t="s">
        <v>299</v>
      </c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70"/>
    </row>
    <row r="29" spans="1:14" x14ac:dyDescent="0.35">
      <c r="A29" s="51" t="s">
        <v>220</v>
      </c>
      <c r="B29" s="3">
        <v>46018</v>
      </c>
      <c r="C29" s="2"/>
      <c r="D29" s="2"/>
      <c r="E29" s="55" t="s">
        <v>315</v>
      </c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5">
      <c r="A30" s="51" t="s">
        <v>221</v>
      </c>
      <c r="B30" s="3">
        <v>46019</v>
      </c>
      <c r="C30" s="56" t="s">
        <v>221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</row>
    <row r="31" spans="1:14" x14ac:dyDescent="0.35">
      <c r="A31" s="51" t="s">
        <v>215</v>
      </c>
      <c r="B31" s="3">
        <v>46020</v>
      </c>
      <c r="C31" s="2" t="s">
        <v>319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5">
      <c r="A32" s="51" t="s">
        <v>216</v>
      </c>
      <c r="B32" s="3">
        <v>46021</v>
      </c>
      <c r="C32" s="2"/>
      <c r="D32" s="2" t="s">
        <v>319</v>
      </c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5">
      <c r="A33" s="51" t="s">
        <v>217</v>
      </c>
      <c r="B33" s="3">
        <v>46022</v>
      </c>
      <c r="C33" s="2"/>
      <c r="D33" s="2"/>
      <c r="E33" s="2" t="s">
        <v>322</v>
      </c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5">
      <c r="A34" s="51" t="s">
        <v>218</v>
      </c>
      <c r="B34" s="3">
        <v>46023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5">
      <c r="A35" s="51" t="s">
        <v>219</v>
      </c>
      <c r="B35" s="3">
        <v>46024</v>
      </c>
      <c r="C35" s="2"/>
      <c r="D35" s="2"/>
      <c r="E35" s="2"/>
      <c r="F35" s="2" t="s">
        <v>324</v>
      </c>
      <c r="G35" s="2"/>
      <c r="H35" s="2"/>
      <c r="I35" s="2"/>
      <c r="J35" s="2"/>
      <c r="K35" s="2"/>
      <c r="L35" s="2"/>
      <c r="M35" s="2"/>
      <c r="N35" s="2"/>
    </row>
    <row r="36" spans="1:14" x14ac:dyDescent="0.35">
      <c r="A36" s="51" t="s">
        <v>220</v>
      </c>
      <c r="B36" s="3">
        <v>46025</v>
      </c>
      <c r="C36" s="2"/>
      <c r="D36" s="2"/>
      <c r="E36" s="2"/>
      <c r="F36" s="2" t="s">
        <v>324</v>
      </c>
      <c r="G36" s="2"/>
      <c r="H36" s="2"/>
      <c r="I36" s="2"/>
      <c r="J36" s="2"/>
      <c r="K36" s="2"/>
      <c r="L36" s="2"/>
      <c r="M36" s="2"/>
      <c r="N36" s="2"/>
    </row>
    <row r="37" spans="1:14" x14ac:dyDescent="0.35">
      <c r="A37" s="51" t="s">
        <v>221</v>
      </c>
      <c r="B37" s="3">
        <v>46026</v>
      </c>
      <c r="C37" s="56" t="s">
        <v>221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8"/>
    </row>
    <row r="38" spans="1:14" x14ac:dyDescent="0.35">
      <c r="A38" s="51" t="s">
        <v>215</v>
      </c>
      <c r="B38" s="3">
        <v>46027</v>
      </c>
      <c r="C38" s="2"/>
      <c r="D38" s="2"/>
      <c r="E38" s="2"/>
      <c r="F38" s="2" t="s">
        <v>324</v>
      </c>
      <c r="G38" s="2"/>
      <c r="H38" s="2"/>
      <c r="I38" s="2"/>
      <c r="J38" s="2"/>
      <c r="K38" s="2"/>
      <c r="L38" s="2"/>
      <c r="M38" s="2"/>
      <c r="N38" s="2"/>
    </row>
    <row r="39" spans="1:14" x14ac:dyDescent="0.35">
      <c r="A39" s="51" t="s">
        <v>216</v>
      </c>
      <c r="B39" s="3">
        <v>46028</v>
      </c>
      <c r="C39" s="2"/>
      <c r="D39" s="2"/>
      <c r="E39" s="2"/>
      <c r="F39" s="2" t="s">
        <v>324</v>
      </c>
      <c r="G39" s="2"/>
      <c r="H39" s="2"/>
      <c r="I39" s="2"/>
      <c r="J39" s="2"/>
      <c r="K39" s="2"/>
      <c r="L39" s="2"/>
      <c r="M39" s="2"/>
      <c r="N39" s="2"/>
    </row>
    <row r="40" spans="1:14" x14ac:dyDescent="0.35">
      <c r="A40" s="51" t="s">
        <v>217</v>
      </c>
      <c r="B40" s="3">
        <v>46029</v>
      </c>
      <c r="C40" s="2"/>
      <c r="D40" s="2"/>
      <c r="E40" s="2"/>
      <c r="F40" s="2" t="s">
        <v>324</v>
      </c>
      <c r="G40" s="2"/>
      <c r="H40" s="2"/>
      <c r="I40" s="2"/>
      <c r="J40" s="2"/>
      <c r="K40" s="2"/>
      <c r="L40" s="2"/>
      <c r="M40" s="2"/>
      <c r="N40" s="2"/>
    </row>
    <row r="41" spans="1:14" x14ac:dyDescent="0.35">
      <c r="A41" s="51" t="s">
        <v>218</v>
      </c>
      <c r="B41" s="3">
        <v>46030</v>
      </c>
      <c r="C41" s="2"/>
      <c r="D41" s="2"/>
      <c r="E41" s="2"/>
      <c r="F41" s="2" t="s">
        <v>324</v>
      </c>
      <c r="G41" s="2"/>
      <c r="H41" s="2"/>
      <c r="I41" s="2"/>
      <c r="J41" s="2"/>
      <c r="K41" s="2"/>
      <c r="L41" s="2"/>
      <c r="M41" s="2"/>
      <c r="N41" s="2"/>
    </row>
    <row r="42" spans="1:14" x14ac:dyDescent="0.35">
      <c r="A42" s="51" t="s">
        <v>219</v>
      </c>
      <c r="B42" s="3">
        <v>46031</v>
      </c>
      <c r="C42" s="2"/>
      <c r="D42" s="2"/>
      <c r="E42" s="2"/>
      <c r="F42" s="2" t="s">
        <v>324</v>
      </c>
      <c r="G42" s="2"/>
      <c r="H42" s="2"/>
      <c r="I42" s="2"/>
      <c r="J42" s="2"/>
      <c r="K42" s="2"/>
      <c r="L42" s="2"/>
      <c r="M42" s="2"/>
      <c r="N42" s="2"/>
    </row>
    <row r="43" spans="1:14" x14ac:dyDescent="0.35">
      <c r="A43" s="51" t="s">
        <v>220</v>
      </c>
      <c r="B43" s="3">
        <v>46032</v>
      </c>
      <c r="C43" s="2"/>
      <c r="D43" s="2"/>
      <c r="E43" s="2"/>
      <c r="F43" s="2" t="s">
        <v>324</v>
      </c>
      <c r="G43" s="2"/>
      <c r="H43" s="2"/>
      <c r="I43" s="2"/>
      <c r="J43" s="2"/>
      <c r="K43" s="2"/>
      <c r="L43" s="2"/>
      <c r="M43" s="2"/>
      <c r="N43" s="2"/>
    </row>
    <row r="44" spans="1:14" x14ac:dyDescent="0.35">
      <c r="A44" s="51" t="s">
        <v>221</v>
      </c>
      <c r="B44" s="3">
        <v>46033</v>
      </c>
      <c r="C44" s="56" t="s">
        <v>221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8"/>
    </row>
    <row r="45" spans="1:14" x14ac:dyDescent="0.35">
      <c r="A45" s="51" t="s">
        <v>215</v>
      </c>
      <c r="B45" s="3">
        <v>46034</v>
      </c>
      <c r="C45" s="59" t="s">
        <v>222</v>
      </c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1"/>
    </row>
    <row r="46" spans="1:14" x14ac:dyDescent="0.35">
      <c r="A46" s="51" t="s">
        <v>216</v>
      </c>
      <c r="B46" s="3">
        <v>46035</v>
      </c>
      <c r="C46" s="62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/>
    </row>
    <row r="47" spans="1:14" x14ac:dyDescent="0.35">
      <c r="A47" s="51" t="s">
        <v>217</v>
      </c>
      <c r="B47" s="3">
        <v>46036</v>
      </c>
      <c r="C47" s="62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4"/>
    </row>
    <row r="48" spans="1:14" x14ac:dyDescent="0.35">
      <c r="A48" s="51" t="s">
        <v>218</v>
      </c>
      <c r="B48" s="3">
        <v>46037</v>
      </c>
      <c r="C48" s="62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4"/>
    </row>
    <row r="49" spans="1:14" x14ac:dyDescent="0.35">
      <c r="A49" s="51" t="s">
        <v>219</v>
      </c>
      <c r="B49" s="3">
        <v>46038</v>
      </c>
      <c r="C49" s="62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4"/>
    </row>
    <row r="50" spans="1:14" x14ac:dyDescent="0.35">
      <c r="A50" s="51" t="s">
        <v>220</v>
      </c>
      <c r="B50" s="3">
        <v>46039</v>
      </c>
      <c r="C50" s="65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7"/>
    </row>
    <row r="51" spans="1:14" x14ac:dyDescent="0.35">
      <c r="A51" s="51" t="s">
        <v>221</v>
      </c>
      <c r="B51" s="3">
        <v>46040</v>
      </c>
      <c r="C51" s="56" t="s">
        <v>221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8"/>
    </row>
    <row r="52" spans="1:14" x14ac:dyDescent="0.35">
      <c r="A52" s="51" t="s">
        <v>215</v>
      </c>
      <c r="B52" s="3">
        <v>46041</v>
      </c>
      <c r="C52" s="2"/>
      <c r="D52" s="2"/>
      <c r="E52" s="2"/>
      <c r="F52" s="2" t="s">
        <v>324</v>
      </c>
      <c r="G52" s="2"/>
      <c r="H52" s="2"/>
      <c r="I52" s="2"/>
      <c r="J52" s="2"/>
      <c r="K52" s="2"/>
      <c r="L52" s="2"/>
      <c r="M52" s="2"/>
      <c r="N52" s="2"/>
    </row>
    <row r="53" spans="1:14" x14ac:dyDescent="0.35">
      <c r="A53" s="51" t="s">
        <v>216</v>
      </c>
      <c r="B53" s="3">
        <v>46042</v>
      </c>
      <c r="C53" s="2"/>
      <c r="D53" s="2"/>
      <c r="E53" s="2"/>
      <c r="F53" s="2" t="s">
        <v>324</v>
      </c>
      <c r="G53" s="2"/>
      <c r="H53" s="2"/>
      <c r="I53" s="2"/>
      <c r="J53" s="2"/>
      <c r="K53" s="2"/>
      <c r="L53" s="2"/>
      <c r="M53" s="2"/>
      <c r="N53" s="2"/>
    </row>
    <row r="54" spans="1:14" x14ac:dyDescent="0.35">
      <c r="A54" s="51" t="s">
        <v>217</v>
      </c>
      <c r="B54" s="3">
        <v>46043</v>
      </c>
      <c r="C54" s="2"/>
      <c r="D54" s="2"/>
      <c r="E54" s="2"/>
      <c r="F54" s="2" t="s">
        <v>324</v>
      </c>
      <c r="G54" s="2"/>
      <c r="H54" s="2"/>
      <c r="I54" s="2"/>
      <c r="J54" s="2"/>
      <c r="K54" s="2"/>
      <c r="L54" s="2"/>
      <c r="M54" s="2"/>
      <c r="N54" s="2"/>
    </row>
    <row r="55" spans="1:14" x14ac:dyDescent="0.35">
      <c r="A55" s="51" t="s">
        <v>218</v>
      </c>
      <c r="B55" s="3">
        <v>46044</v>
      </c>
      <c r="C55" s="2"/>
      <c r="D55" s="2"/>
      <c r="E55" s="2"/>
      <c r="F55" s="2" t="s">
        <v>324</v>
      </c>
      <c r="G55" s="2"/>
      <c r="H55" s="2"/>
      <c r="I55" s="2"/>
      <c r="J55" s="2"/>
      <c r="K55" s="2"/>
      <c r="L55" s="2"/>
      <c r="M55" s="2"/>
      <c r="N55" s="2"/>
    </row>
    <row r="56" spans="1:14" x14ac:dyDescent="0.35">
      <c r="A56" s="51" t="s">
        <v>219</v>
      </c>
      <c r="B56" s="3">
        <v>46045</v>
      </c>
      <c r="C56" s="2"/>
      <c r="D56" s="2"/>
      <c r="E56" s="2"/>
      <c r="F56" s="2" t="s">
        <v>324</v>
      </c>
      <c r="G56" s="2"/>
      <c r="H56" s="2"/>
      <c r="I56" s="2"/>
      <c r="J56" s="2"/>
      <c r="K56" s="2"/>
      <c r="L56" s="2"/>
      <c r="M56" s="2"/>
      <c r="N56" s="2"/>
    </row>
    <row r="57" spans="1:14" x14ac:dyDescent="0.35">
      <c r="A57" s="51" t="s">
        <v>220</v>
      </c>
      <c r="B57" s="3">
        <v>46046</v>
      </c>
      <c r="C57" s="2"/>
      <c r="D57" s="2"/>
      <c r="E57" s="2"/>
      <c r="F57" s="2" t="s">
        <v>324</v>
      </c>
      <c r="G57" s="2"/>
      <c r="H57" s="2"/>
      <c r="I57" s="2"/>
      <c r="J57" s="2"/>
      <c r="K57" s="2"/>
      <c r="L57" s="2"/>
      <c r="M57" s="2"/>
      <c r="N57" s="2"/>
    </row>
    <row r="58" spans="1:14" x14ac:dyDescent="0.35">
      <c r="A58" s="51" t="s">
        <v>221</v>
      </c>
      <c r="B58" s="3">
        <v>46047</v>
      </c>
      <c r="C58" s="56" t="s">
        <v>221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8"/>
    </row>
    <row r="59" spans="1:14" x14ac:dyDescent="0.35">
      <c r="A59" s="51" t="s">
        <v>215</v>
      </c>
      <c r="B59" s="3">
        <v>46048</v>
      </c>
      <c r="C59" s="68" t="s">
        <v>224</v>
      </c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70"/>
    </row>
    <row r="60" spans="1:14" x14ac:dyDescent="0.35">
      <c r="A60" s="51" t="s">
        <v>216</v>
      </c>
      <c r="B60" s="3">
        <v>46049</v>
      </c>
      <c r="C60" s="2"/>
      <c r="D60" s="2"/>
      <c r="E60" s="2"/>
      <c r="F60" s="2" t="s">
        <v>324</v>
      </c>
      <c r="G60" s="2"/>
      <c r="H60" s="2"/>
      <c r="I60" s="2"/>
      <c r="J60" s="2"/>
      <c r="K60" s="2"/>
      <c r="L60" s="2"/>
      <c r="M60" s="2"/>
      <c r="N60" s="2"/>
    </row>
    <row r="61" spans="1:14" x14ac:dyDescent="0.35">
      <c r="A61" s="51" t="s">
        <v>217</v>
      </c>
      <c r="B61" s="3">
        <v>46050</v>
      </c>
      <c r="C61" s="52" t="s">
        <v>5</v>
      </c>
      <c r="D61" s="52" t="s">
        <v>5</v>
      </c>
      <c r="E61" s="52" t="s">
        <v>5</v>
      </c>
      <c r="F61" s="52" t="s">
        <v>5</v>
      </c>
      <c r="G61" s="52" t="s">
        <v>5</v>
      </c>
      <c r="H61" s="52" t="s">
        <v>5</v>
      </c>
      <c r="I61" s="52" t="s">
        <v>5</v>
      </c>
      <c r="J61" s="52" t="s">
        <v>5</v>
      </c>
      <c r="K61" s="52" t="s">
        <v>5</v>
      </c>
      <c r="L61" s="52" t="s">
        <v>5</v>
      </c>
      <c r="M61" s="52" t="s">
        <v>5</v>
      </c>
      <c r="N61" s="52" t="s">
        <v>5</v>
      </c>
    </row>
    <row r="62" spans="1:14" x14ac:dyDescent="0.35">
      <c r="A62" s="51" t="s">
        <v>218</v>
      </c>
      <c r="B62" s="3">
        <v>46051</v>
      </c>
      <c r="C62" s="52" t="s">
        <v>5</v>
      </c>
      <c r="D62" s="52" t="s">
        <v>5</v>
      </c>
      <c r="E62" s="52" t="s">
        <v>5</v>
      </c>
      <c r="F62" s="52" t="s">
        <v>5</v>
      </c>
      <c r="G62" s="52" t="s">
        <v>5</v>
      </c>
      <c r="H62" s="52" t="s">
        <v>5</v>
      </c>
      <c r="I62" s="52" t="s">
        <v>5</v>
      </c>
      <c r="J62" s="52" t="s">
        <v>5</v>
      </c>
      <c r="K62" s="52" t="s">
        <v>5</v>
      </c>
      <c r="L62" s="52" t="s">
        <v>5</v>
      </c>
      <c r="M62" s="52" t="s">
        <v>5</v>
      </c>
      <c r="N62" s="52" t="s">
        <v>5</v>
      </c>
    </row>
    <row r="63" spans="1:14" x14ac:dyDescent="0.35">
      <c r="A63" s="51" t="s">
        <v>219</v>
      </c>
      <c r="B63" s="3">
        <v>46052</v>
      </c>
      <c r="C63" s="52" t="s">
        <v>5</v>
      </c>
      <c r="D63" s="52" t="s">
        <v>5</v>
      </c>
      <c r="E63" s="52" t="s">
        <v>5</v>
      </c>
      <c r="F63" s="52" t="s">
        <v>5</v>
      </c>
      <c r="G63" s="52" t="s">
        <v>5</v>
      </c>
      <c r="H63" s="52" t="s">
        <v>5</v>
      </c>
      <c r="I63" s="52" t="s">
        <v>5</v>
      </c>
      <c r="J63" s="52" t="s">
        <v>5</v>
      </c>
      <c r="K63" s="52" t="s">
        <v>5</v>
      </c>
      <c r="L63" s="52" t="s">
        <v>5</v>
      </c>
      <c r="M63" s="52" t="s">
        <v>5</v>
      </c>
      <c r="N63" s="52" t="s">
        <v>5</v>
      </c>
    </row>
    <row r="64" spans="1:14" x14ac:dyDescent="0.35">
      <c r="A64" s="51" t="s">
        <v>220</v>
      </c>
      <c r="B64" s="3">
        <v>46053</v>
      </c>
      <c r="C64" s="52" t="s">
        <v>5</v>
      </c>
      <c r="D64" s="52" t="s">
        <v>5</v>
      </c>
      <c r="E64" s="52" t="s">
        <v>5</v>
      </c>
      <c r="F64" s="52" t="s">
        <v>5</v>
      </c>
      <c r="G64" s="52" t="s">
        <v>5</v>
      </c>
      <c r="H64" s="52" t="s">
        <v>5</v>
      </c>
      <c r="I64" s="52" t="s">
        <v>5</v>
      </c>
      <c r="J64" s="52" t="s">
        <v>5</v>
      </c>
      <c r="K64" s="52" t="s">
        <v>5</v>
      </c>
      <c r="L64" s="52" t="s">
        <v>5</v>
      </c>
      <c r="M64" s="52" t="s">
        <v>5</v>
      </c>
      <c r="N64" s="52" t="s">
        <v>5</v>
      </c>
    </row>
    <row r="65" spans="1:14" x14ac:dyDescent="0.35">
      <c r="A65" s="51" t="s">
        <v>221</v>
      </c>
      <c r="B65" s="3">
        <v>46054</v>
      </c>
      <c r="C65" s="56" t="s">
        <v>221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8"/>
    </row>
    <row r="66" spans="1:14" x14ac:dyDescent="0.35">
      <c r="A66" s="51" t="s">
        <v>215</v>
      </c>
      <c r="B66" s="3">
        <v>46055</v>
      </c>
      <c r="C66" s="52" t="s">
        <v>5</v>
      </c>
      <c r="D66" s="52" t="s">
        <v>5</v>
      </c>
      <c r="E66" s="52" t="s">
        <v>5</v>
      </c>
      <c r="F66" s="52" t="s">
        <v>5</v>
      </c>
      <c r="G66" s="52" t="s">
        <v>5</v>
      </c>
      <c r="H66" s="52" t="s">
        <v>5</v>
      </c>
      <c r="I66" s="52" t="s">
        <v>5</v>
      </c>
      <c r="J66" s="52" t="s">
        <v>5</v>
      </c>
      <c r="K66" s="52" t="s">
        <v>5</v>
      </c>
      <c r="L66" s="52" t="s">
        <v>5</v>
      </c>
      <c r="M66" s="52" t="s">
        <v>5</v>
      </c>
      <c r="N66" s="52" t="s">
        <v>5</v>
      </c>
    </row>
    <row r="67" spans="1:14" x14ac:dyDescent="0.35">
      <c r="A67" s="51" t="s">
        <v>216</v>
      </c>
      <c r="B67" s="3">
        <v>46056</v>
      </c>
      <c r="C67" s="2"/>
      <c r="D67" s="2"/>
      <c r="E67" s="2"/>
      <c r="F67" s="2" t="s">
        <v>324</v>
      </c>
      <c r="G67" s="2"/>
      <c r="H67" s="2"/>
      <c r="I67" s="2"/>
      <c r="J67" s="2"/>
      <c r="K67" s="2"/>
      <c r="L67" s="2"/>
      <c r="M67" s="2"/>
      <c r="N67" s="2"/>
    </row>
    <row r="68" spans="1:14" x14ac:dyDescent="0.35">
      <c r="A68" s="51" t="s">
        <v>217</v>
      </c>
      <c r="B68" s="3">
        <v>46057</v>
      </c>
      <c r="C68" s="2"/>
      <c r="D68" s="2"/>
      <c r="E68" s="2"/>
      <c r="F68" s="2" t="s">
        <v>324</v>
      </c>
      <c r="G68" s="2"/>
      <c r="H68" s="2"/>
      <c r="I68" s="2"/>
      <c r="J68" s="2"/>
      <c r="K68" s="2"/>
      <c r="L68" s="2"/>
      <c r="M68" s="2"/>
      <c r="N68" s="2"/>
    </row>
    <row r="69" spans="1:14" x14ac:dyDescent="0.35">
      <c r="A69" s="51" t="s">
        <v>218</v>
      </c>
      <c r="B69" s="3">
        <v>46058</v>
      </c>
      <c r="C69" s="2"/>
      <c r="D69" s="2"/>
      <c r="E69" s="2"/>
      <c r="F69" s="2" t="s">
        <v>324</v>
      </c>
      <c r="G69" s="2"/>
      <c r="H69" s="2"/>
      <c r="I69" s="2"/>
      <c r="J69" s="2"/>
      <c r="K69" s="2"/>
      <c r="L69" s="2"/>
      <c r="M69" s="2"/>
      <c r="N69" s="2"/>
    </row>
    <row r="70" spans="1:14" x14ac:dyDescent="0.35">
      <c r="A70" s="51" t="s">
        <v>219</v>
      </c>
      <c r="B70" s="3">
        <v>46059</v>
      </c>
      <c r="C70" s="2"/>
      <c r="D70" s="2"/>
      <c r="E70" s="2"/>
      <c r="F70" s="2" t="s">
        <v>324</v>
      </c>
      <c r="G70" s="2"/>
      <c r="H70" s="2"/>
      <c r="I70" s="2"/>
      <c r="J70" s="2"/>
      <c r="K70" s="2"/>
      <c r="L70" s="2"/>
      <c r="M70" s="2"/>
      <c r="N70" s="2"/>
    </row>
    <row r="71" spans="1:14" x14ac:dyDescent="0.35">
      <c r="A71" s="51" t="s">
        <v>220</v>
      </c>
      <c r="B71" s="3">
        <v>46060</v>
      </c>
      <c r="C71" s="2"/>
      <c r="D71" s="2"/>
      <c r="E71" s="2"/>
      <c r="F71" s="2" t="s">
        <v>324</v>
      </c>
      <c r="G71" s="2"/>
      <c r="H71" s="2"/>
      <c r="I71" s="2"/>
      <c r="J71" s="2"/>
      <c r="K71" s="2"/>
      <c r="L71" s="2"/>
      <c r="M71" s="2"/>
      <c r="N71" s="2"/>
    </row>
    <row r="72" spans="1:14" x14ac:dyDescent="0.35">
      <c r="A72" s="51" t="s">
        <v>221</v>
      </c>
      <c r="B72" s="3">
        <v>46061</v>
      </c>
      <c r="C72" s="56" t="s">
        <v>221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8"/>
    </row>
    <row r="73" spans="1:14" x14ac:dyDescent="0.35">
      <c r="A73" s="51" t="s">
        <v>215</v>
      </c>
      <c r="B73" s="3">
        <v>46062</v>
      </c>
      <c r="C73" s="2"/>
      <c r="D73" s="2"/>
      <c r="E73" s="2"/>
      <c r="F73" s="2" t="s">
        <v>324</v>
      </c>
      <c r="G73" s="2" t="s">
        <v>325</v>
      </c>
      <c r="H73" s="2"/>
      <c r="I73" s="2"/>
      <c r="J73" s="2"/>
      <c r="K73" s="2"/>
      <c r="L73" s="2"/>
      <c r="M73" s="2"/>
      <c r="N73" s="2"/>
    </row>
    <row r="74" spans="1:14" x14ac:dyDescent="0.35">
      <c r="A74" s="51" t="s">
        <v>216</v>
      </c>
      <c r="B74" s="3">
        <v>46063</v>
      </c>
      <c r="C74" s="2"/>
      <c r="D74" s="2"/>
      <c r="E74" s="2"/>
      <c r="F74" s="2" t="s">
        <v>324</v>
      </c>
      <c r="G74" s="2"/>
      <c r="H74" s="2"/>
      <c r="I74" s="2"/>
      <c r="J74" s="2"/>
      <c r="K74" s="2"/>
      <c r="L74" s="2"/>
      <c r="M74" s="2"/>
      <c r="N74" s="2"/>
    </row>
    <row r="75" spans="1:14" x14ac:dyDescent="0.35">
      <c r="A75" s="51" t="s">
        <v>217</v>
      </c>
      <c r="B75" s="3">
        <v>46064</v>
      </c>
      <c r="C75" s="2"/>
      <c r="D75" s="2"/>
      <c r="E75" s="2"/>
      <c r="F75" s="2" t="s">
        <v>324</v>
      </c>
      <c r="G75" s="2"/>
      <c r="H75" s="2"/>
      <c r="I75" s="2"/>
      <c r="J75" s="2"/>
      <c r="K75" s="2"/>
      <c r="L75" s="2"/>
      <c r="M75" s="2"/>
      <c r="N75" s="2"/>
    </row>
    <row r="76" spans="1:14" x14ac:dyDescent="0.35">
      <c r="A76" s="51" t="s">
        <v>218</v>
      </c>
      <c r="B76" s="3">
        <v>46065</v>
      </c>
      <c r="C76" s="2"/>
      <c r="D76" s="2"/>
      <c r="E76" s="2"/>
      <c r="F76" s="2" t="s">
        <v>324</v>
      </c>
      <c r="G76" s="2"/>
      <c r="H76" s="2"/>
      <c r="I76" s="2"/>
      <c r="J76" s="2"/>
      <c r="K76" s="2"/>
      <c r="L76" s="2"/>
      <c r="M76" s="2"/>
      <c r="N76" s="2"/>
    </row>
    <row r="77" spans="1:14" x14ac:dyDescent="0.35">
      <c r="A77" s="51" t="s">
        <v>219</v>
      </c>
      <c r="B77" s="3">
        <v>46066</v>
      </c>
      <c r="C77" s="2"/>
      <c r="D77" s="2"/>
      <c r="E77" s="2"/>
      <c r="F77" s="2"/>
      <c r="H77" s="2"/>
      <c r="I77" s="2"/>
      <c r="J77" s="2"/>
      <c r="K77" s="2"/>
      <c r="L77" s="2"/>
      <c r="M77" s="2"/>
      <c r="N77" s="2"/>
    </row>
    <row r="78" spans="1:14" x14ac:dyDescent="0.35">
      <c r="A78" s="51" t="s">
        <v>220</v>
      </c>
      <c r="B78" s="3">
        <v>46067</v>
      </c>
      <c r="C78" s="93" t="s">
        <v>327</v>
      </c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5"/>
    </row>
    <row r="79" spans="1:14" x14ac:dyDescent="0.35">
      <c r="A79" s="51" t="s">
        <v>221</v>
      </c>
      <c r="B79" s="3">
        <v>46068</v>
      </c>
      <c r="C79" s="56" t="s">
        <v>221</v>
      </c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8"/>
    </row>
    <row r="80" spans="1:14" x14ac:dyDescent="0.35">
      <c r="A80" s="51" t="s">
        <v>215</v>
      </c>
      <c r="B80" s="3">
        <v>46069</v>
      </c>
      <c r="C80" s="2" t="s">
        <v>326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35">
      <c r="A81" s="51" t="s">
        <v>216</v>
      </c>
      <c r="B81" s="3">
        <v>46070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35">
      <c r="A82" s="51" t="s">
        <v>217</v>
      </c>
      <c r="B82" s="3">
        <v>46071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35">
      <c r="A83" s="51" t="s">
        <v>218</v>
      </c>
      <c r="B83" s="3">
        <v>46072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35">
      <c r="A84" s="51" t="s">
        <v>219</v>
      </c>
      <c r="B84" s="3">
        <v>46073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35">
      <c r="A85" s="51" t="s">
        <v>220</v>
      </c>
      <c r="B85" s="3">
        <v>46074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35">
      <c r="A86" s="51" t="s">
        <v>221</v>
      </c>
      <c r="B86" s="3">
        <v>46075</v>
      </c>
      <c r="C86" s="56" t="s">
        <v>221</v>
      </c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8"/>
    </row>
    <row r="87" spans="1:14" x14ac:dyDescent="0.35">
      <c r="A87" s="51" t="s">
        <v>215</v>
      </c>
      <c r="B87" s="3">
        <v>46076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35">
      <c r="A88" s="51" t="s">
        <v>216</v>
      </c>
      <c r="B88" s="3">
        <v>46077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35">
      <c r="A89" s="51" t="s">
        <v>217</v>
      </c>
      <c r="B89" s="3">
        <v>46078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35">
      <c r="A90" s="51" t="s">
        <v>218</v>
      </c>
      <c r="B90" s="3">
        <v>46079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35">
      <c r="A91" s="51" t="s">
        <v>219</v>
      </c>
      <c r="B91" s="3">
        <v>46080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35">
      <c r="A92" s="51" t="s">
        <v>220</v>
      </c>
      <c r="B92" s="3">
        <v>46081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35">
      <c r="A93" s="51" t="s">
        <v>221</v>
      </c>
      <c r="B93" s="3">
        <v>46082</v>
      </c>
      <c r="C93" s="56" t="s">
        <v>221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8"/>
    </row>
    <row r="94" spans="1:14" x14ac:dyDescent="0.35">
      <c r="A94" s="51" t="s">
        <v>215</v>
      </c>
      <c r="B94" s="3">
        <v>46083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35">
      <c r="A95" s="51" t="s">
        <v>216</v>
      </c>
      <c r="B95" s="3">
        <v>46084</v>
      </c>
      <c r="C95" s="68" t="s">
        <v>303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70"/>
    </row>
    <row r="96" spans="1:14" x14ac:dyDescent="0.35">
      <c r="A96" s="51" t="s">
        <v>217</v>
      </c>
      <c r="B96" s="3">
        <v>46085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5">
      <c r="A97" s="51" t="s">
        <v>218</v>
      </c>
      <c r="B97" s="3">
        <v>46086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5">
      <c r="A98" s="51" t="s">
        <v>219</v>
      </c>
      <c r="B98" s="3">
        <v>46087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5">
      <c r="A99" s="51" t="s">
        <v>220</v>
      </c>
      <c r="B99" s="3">
        <v>46088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35">
      <c r="A100" s="51" t="s">
        <v>221</v>
      </c>
      <c r="B100" s="3">
        <v>46089</v>
      </c>
      <c r="C100" s="56" t="s">
        <v>221</v>
      </c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8"/>
    </row>
    <row r="101" spans="1:14" x14ac:dyDescent="0.35">
      <c r="A101" s="51" t="s">
        <v>215</v>
      </c>
      <c r="B101" s="3">
        <v>46090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35">
      <c r="A102" s="51" t="s">
        <v>216</v>
      </c>
      <c r="B102" s="3">
        <v>46091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35">
      <c r="A103" s="51" t="s">
        <v>217</v>
      </c>
      <c r="B103" s="3">
        <v>46092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35">
      <c r="A104" s="51" t="s">
        <v>218</v>
      </c>
      <c r="B104" s="3">
        <v>46093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35">
      <c r="A105" s="51" t="s">
        <v>219</v>
      </c>
      <c r="B105" s="3">
        <v>46094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35">
      <c r="A106" s="51" t="s">
        <v>220</v>
      </c>
      <c r="B106" s="3">
        <v>46095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35">
      <c r="A107" s="51" t="s">
        <v>221</v>
      </c>
      <c r="B107" s="3">
        <v>46096</v>
      </c>
      <c r="C107" s="56" t="s">
        <v>221</v>
      </c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8"/>
    </row>
    <row r="108" spans="1:14" x14ac:dyDescent="0.35">
      <c r="A108" s="51" t="s">
        <v>215</v>
      </c>
      <c r="B108" s="3">
        <v>46097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35">
      <c r="A109" s="51" t="s">
        <v>216</v>
      </c>
      <c r="B109" s="3">
        <v>46098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35">
      <c r="A110" s="51" t="s">
        <v>217</v>
      </c>
      <c r="B110" s="3">
        <v>46099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35">
      <c r="A111" s="51" t="s">
        <v>218</v>
      </c>
      <c r="B111" s="3">
        <v>46100</v>
      </c>
      <c r="C111" s="68" t="s">
        <v>302</v>
      </c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70"/>
    </row>
    <row r="112" spans="1:14" x14ac:dyDescent="0.35">
      <c r="A112" s="51" t="s">
        <v>219</v>
      </c>
      <c r="B112" s="3">
        <v>46101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35">
      <c r="A113" s="51" t="s">
        <v>220</v>
      </c>
      <c r="B113" s="3">
        <v>46102</v>
      </c>
      <c r="C113" s="68" t="s">
        <v>301</v>
      </c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70"/>
    </row>
    <row r="114" spans="1:14" x14ac:dyDescent="0.35">
      <c r="A114" s="51" t="s">
        <v>221</v>
      </c>
      <c r="B114" s="3">
        <v>46103</v>
      </c>
      <c r="C114" s="56" t="s">
        <v>221</v>
      </c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8"/>
    </row>
    <row r="115" spans="1:14" x14ac:dyDescent="0.35">
      <c r="A115" s="51" t="s">
        <v>215</v>
      </c>
      <c r="B115" s="3">
        <v>46104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35">
      <c r="A116" s="51" t="s">
        <v>216</v>
      </c>
      <c r="B116" s="3">
        <v>46105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35">
      <c r="A117" s="51" t="s">
        <v>217</v>
      </c>
      <c r="B117" s="3">
        <v>46106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35">
      <c r="A118" s="51" t="s">
        <v>218</v>
      </c>
      <c r="B118" s="3">
        <v>46107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35">
      <c r="A119" s="51" t="s">
        <v>219</v>
      </c>
      <c r="B119" s="3">
        <v>46108</v>
      </c>
      <c r="C119" s="68" t="s">
        <v>300</v>
      </c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70"/>
    </row>
    <row r="120" spans="1:14" x14ac:dyDescent="0.35">
      <c r="A120" s="51" t="s">
        <v>220</v>
      </c>
      <c r="B120" s="3">
        <v>46109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35">
      <c r="A121" s="51" t="s">
        <v>221</v>
      </c>
      <c r="B121" s="3">
        <v>46110</v>
      </c>
      <c r="C121" s="56" t="s">
        <v>221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8"/>
    </row>
    <row r="122" spans="1:14" x14ac:dyDescent="0.35">
      <c r="A122" s="51" t="s">
        <v>215</v>
      </c>
      <c r="B122" s="3">
        <v>46111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</sheetData>
  <mergeCells count="27">
    <mergeCell ref="C113:N113"/>
    <mergeCell ref="C119:N119"/>
    <mergeCell ref="C37:N37"/>
    <mergeCell ref="C27:N27"/>
    <mergeCell ref="B1:N1"/>
    <mergeCell ref="C9:N9"/>
    <mergeCell ref="C16:N16"/>
    <mergeCell ref="C23:N23"/>
    <mergeCell ref="C30:N30"/>
    <mergeCell ref="C28:N28"/>
    <mergeCell ref="C78:N78"/>
    <mergeCell ref="C121:N121"/>
    <mergeCell ref="C44:N44"/>
    <mergeCell ref="C51:N51"/>
    <mergeCell ref="C58:N58"/>
    <mergeCell ref="C65:N65"/>
    <mergeCell ref="C72:N72"/>
    <mergeCell ref="C79:N79"/>
    <mergeCell ref="C45:N50"/>
    <mergeCell ref="C59:N59"/>
    <mergeCell ref="C86:N86"/>
    <mergeCell ref="C93:N93"/>
    <mergeCell ref="C100:N100"/>
    <mergeCell ref="C107:N107"/>
    <mergeCell ref="C114:N114"/>
    <mergeCell ref="C95:N95"/>
    <mergeCell ref="C111:N1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7"/>
  <sheetViews>
    <sheetView zoomScale="115" zoomScaleNormal="115" workbookViewId="0">
      <selection activeCell="E13" sqref="E13"/>
    </sheetView>
  </sheetViews>
  <sheetFormatPr defaultRowHeight="14.5" x14ac:dyDescent="0.35"/>
  <cols>
    <col min="1" max="3" width="8.7265625" style="1"/>
    <col min="5" max="5" width="116.453125" customWidth="1"/>
  </cols>
  <sheetData>
    <row r="3" spans="1:5" x14ac:dyDescent="0.35">
      <c r="A3" s="1" t="s">
        <v>323</v>
      </c>
      <c r="B3" s="1" t="s">
        <v>318</v>
      </c>
      <c r="C3" s="1" t="s">
        <v>317</v>
      </c>
    </row>
    <row r="4" spans="1:5" x14ac:dyDescent="0.35">
      <c r="A4" s="1">
        <v>1</v>
      </c>
      <c r="B4" s="1">
        <v>2</v>
      </c>
      <c r="C4" s="1">
        <v>3</v>
      </c>
      <c r="D4" s="2" t="s">
        <v>247</v>
      </c>
      <c r="E4" s="2" t="s">
        <v>311</v>
      </c>
    </row>
    <row r="5" spans="1:5" x14ac:dyDescent="0.35">
      <c r="A5" s="1">
        <v>5</v>
      </c>
      <c r="B5" s="1">
        <v>5</v>
      </c>
      <c r="C5" s="1">
        <v>5</v>
      </c>
      <c r="D5" s="2" t="s">
        <v>249</v>
      </c>
      <c r="E5" s="2" t="s">
        <v>312</v>
      </c>
    </row>
    <row r="6" spans="1:5" x14ac:dyDescent="0.35">
      <c r="A6" s="1">
        <v>2</v>
      </c>
      <c r="B6" s="1">
        <v>2</v>
      </c>
      <c r="C6" s="1">
        <v>2</v>
      </c>
      <c r="D6" s="2" t="s">
        <v>251</v>
      </c>
      <c r="E6" s="2" t="s">
        <v>320</v>
      </c>
    </row>
    <row r="7" spans="1:5" x14ac:dyDescent="0.35">
      <c r="B7" s="1">
        <v>3</v>
      </c>
      <c r="C7" s="1">
        <v>3</v>
      </c>
      <c r="D7" s="2" t="s">
        <v>253</v>
      </c>
      <c r="E7" s="2" t="s">
        <v>313</v>
      </c>
    </row>
    <row r="8" spans="1:5" x14ac:dyDescent="0.35">
      <c r="B8" s="1">
        <v>2</v>
      </c>
      <c r="C8" s="1">
        <v>2</v>
      </c>
      <c r="D8" s="2" t="s">
        <v>255</v>
      </c>
      <c r="E8" t="s">
        <v>314</v>
      </c>
    </row>
    <row r="9" spans="1:5" x14ac:dyDescent="0.35">
      <c r="D9" s="2" t="s">
        <v>257</v>
      </c>
      <c r="E9" s="2"/>
    </row>
    <row r="10" spans="1:5" x14ac:dyDescent="0.35">
      <c r="D10" s="2" t="s">
        <v>259</v>
      </c>
      <c r="E10" s="2"/>
    </row>
    <row r="17" spans="5:5" x14ac:dyDescent="0.35">
      <c r="E17" t="s">
        <v>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pane ySplit="2" topLeftCell="A139" activePane="bottomLeft" state="frozen"/>
      <selection pane="bottomLeft" activeCell="D146" sqref="D146:D148"/>
    </sheetView>
  </sheetViews>
  <sheetFormatPr defaultRowHeight="14.5" x14ac:dyDescent="0.35"/>
  <cols>
    <col min="1" max="1" width="11.54296875" bestFit="1" customWidth="1"/>
    <col min="2" max="2" width="14.6328125" bestFit="1" customWidth="1"/>
    <col min="3" max="3" width="16.36328125" style="1" bestFit="1" customWidth="1"/>
    <col min="4" max="4" width="14" style="1" bestFit="1" customWidth="1"/>
    <col min="5" max="5" width="11.36328125" style="1" bestFit="1" customWidth="1"/>
    <col min="6" max="6" width="15.6328125" style="1" bestFit="1" customWidth="1"/>
    <col min="15" max="15" width="31.90625" bestFit="1" customWidth="1"/>
    <col min="18" max="18" width="10.08984375" bestFit="1" customWidth="1"/>
  </cols>
  <sheetData>
    <row r="1" spans="2:18" x14ac:dyDescent="0.35"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2:18" x14ac:dyDescent="0.35">
      <c r="B2" s="4" t="s">
        <v>1</v>
      </c>
      <c r="C2" s="18" t="s">
        <v>20</v>
      </c>
      <c r="D2" s="5" t="s">
        <v>2</v>
      </c>
      <c r="E2" s="5" t="s">
        <v>3</v>
      </c>
      <c r="F2" s="5" t="s">
        <v>21</v>
      </c>
      <c r="G2" s="5"/>
      <c r="H2" s="5"/>
      <c r="I2" s="5"/>
      <c r="J2" s="5"/>
      <c r="K2" s="5"/>
      <c r="L2" s="5"/>
      <c r="M2" s="5"/>
      <c r="N2" s="5"/>
    </row>
    <row r="3" spans="2:18" x14ac:dyDescent="0.35">
      <c r="B3" s="3">
        <v>45845</v>
      </c>
      <c r="C3" s="19" t="s">
        <v>22</v>
      </c>
      <c r="D3" s="19" t="s">
        <v>22</v>
      </c>
      <c r="E3" s="19" t="s">
        <v>22</v>
      </c>
      <c r="F3" s="19" t="s">
        <v>22</v>
      </c>
      <c r="G3" s="2"/>
      <c r="H3" s="2"/>
      <c r="I3" s="2"/>
      <c r="J3" s="2"/>
      <c r="K3" s="2"/>
      <c r="L3" s="2"/>
      <c r="M3" s="2"/>
      <c r="N3" s="2"/>
      <c r="O3" t="s">
        <v>23</v>
      </c>
    </row>
    <row r="4" spans="2:18" x14ac:dyDescent="0.35">
      <c r="B4" s="3">
        <v>45846</v>
      </c>
      <c r="C4" s="19" t="s">
        <v>22</v>
      </c>
      <c r="D4" s="19" t="s">
        <v>22</v>
      </c>
      <c r="E4" s="19" t="s">
        <v>22</v>
      </c>
      <c r="F4" s="19" t="s">
        <v>22</v>
      </c>
      <c r="G4" s="2"/>
      <c r="H4" s="2"/>
      <c r="I4" s="2"/>
      <c r="J4" s="2"/>
      <c r="K4" s="2"/>
      <c r="L4" s="2"/>
      <c r="M4" s="2"/>
      <c r="N4" s="2"/>
      <c r="O4" t="s">
        <v>24</v>
      </c>
    </row>
    <row r="5" spans="2:18" x14ac:dyDescent="0.35">
      <c r="B5" s="3">
        <v>45847</v>
      </c>
      <c r="C5" s="19" t="s">
        <v>22</v>
      </c>
      <c r="D5" s="19" t="s">
        <v>22</v>
      </c>
      <c r="E5" s="19" t="s">
        <v>22</v>
      </c>
      <c r="F5" s="19" t="s">
        <v>22</v>
      </c>
      <c r="G5" s="2"/>
      <c r="H5" s="2"/>
      <c r="I5" s="2"/>
      <c r="J5" s="2"/>
      <c r="K5" s="2"/>
      <c r="L5" s="2"/>
      <c r="M5" s="2"/>
      <c r="N5" s="2"/>
    </row>
    <row r="6" spans="2:18" x14ac:dyDescent="0.35">
      <c r="B6" s="3">
        <v>45848</v>
      </c>
      <c r="C6" s="19" t="s">
        <v>22</v>
      </c>
      <c r="D6" s="19" t="s">
        <v>22</v>
      </c>
      <c r="E6" s="19" t="s">
        <v>22</v>
      </c>
      <c r="F6" s="19" t="s">
        <v>22</v>
      </c>
      <c r="G6" s="2"/>
      <c r="H6" s="2"/>
      <c r="I6" s="2"/>
      <c r="J6" s="2"/>
      <c r="K6" s="2"/>
      <c r="L6" s="2"/>
      <c r="M6" s="2"/>
      <c r="N6" s="2"/>
    </row>
    <row r="7" spans="2:18" x14ac:dyDescent="0.35">
      <c r="B7" s="3">
        <v>45849</v>
      </c>
      <c r="C7" s="19" t="s">
        <v>22</v>
      </c>
      <c r="D7" s="19" t="s">
        <v>22</v>
      </c>
      <c r="E7" s="19" t="s">
        <v>22</v>
      </c>
      <c r="F7" s="19" t="s">
        <v>22</v>
      </c>
      <c r="G7" s="2"/>
      <c r="H7" s="2"/>
      <c r="I7" s="2"/>
      <c r="J7" s="2"/>
      <c r="K7" s="2"/>
      <c r="L7" s="2"/>
      <c r="M7" s="2"/>
      <c r="N7" s="2"/>
    </row>
    <row r="8" spans="2:18" x14ac:dyDescent="0.35">
      <c r="B8" s="3">
        <v>45850</v>
      </c>
      <c r="C8" s="19" t="s">
        <v>22</v>
      </c>
      <c r="D8" s="19" t="s">
        <v>22</v>
      </c>
      <c r="E8" s="19" t="s">
        <v>22</v>
      </c>
      <c r="F8" s="19" t="s">
        <v>22</v>
      </c>
      <c r="G8" s="2"/>
      <c r="H8" s="2"/>
      <c r="I8" s="2"/>
      <c r="J8" s="2"/>
      <c r="K8" s="2"/>
      <c r="L8" s="2"/>
      <c r="M8" s="2"/>
      <c r="N8" s="2"/>
      <c r="R8" s="17"/>
    </row>
    <row r="9" spans="2:18" x14ac:dyDescent="0.35">
      <c r="B9" s="3">
        <v>45851</v>
      </c>
      <c r="C9" s="56" t="s">
        <v>4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8"/>
      <c r="R9" s="17"/>
    </row>
    <row r="10" spans="2:18" x14ac:dyDescent="0.35">
      <c r="B10" s="3">
        <v>45852</v>
      </c>
      <c r="C10" s="19"/>
      <c r="D10" s="19"/>
      <c r="E10" s="19"/>
      <c r="F10" s="19"/>
      <c r="G10" s="2"/>
      <c r="H10" s="2"/>
      <c r="I10" s="2"/>
      <c r="J10" s="2"/>
      <c r="K10" s="2"/>
      <c r="L10" s="2"/>
      <c r="M10" s="2"/>
      <c r="N10" s="2"/>
      <c r="R10" s="17"/>
    </row>
    <row r="11" spans="2:18" x14ac:dyDescent="0.35">
      <c r="B11" s="3">
        <v>45853</v>
      </c>
      <c r="C11" s="19"/>
      <c r="D11" s="19" t="s">
        <v>25</v>
      </c>
      <c r="E11" s="19"/>
      <c r="F11" s="19"/>
      <c r="G11" s="2"/>
      <c r="H11" s="2"/>
      <c r="I11" s="2"/>
      <c r="J11" s="2"/>
      <c r="K11" s="2"/>
      <c r="L11" s="2"/>
      <c r="M11" s="2"/>
      <c r="N11" s="2"/>
      <c r="O11" t="s">
        <v>44</v>
      </c>
      <c r="R11" s="17"/>
    </row>
    <row r="12" spans="2:18" x14ac:dyDescent="0.35">
      <c r="B12" s="3">
        <v>45854</v>
      </c>
      <c r="C12" s="19"/>
      <c r="D12" s="19"/>
      <c r="E12" s="19"/>
      <c r="F12" s="19" t="s">
        <v>45</v>
      </c>
      <c r="G12" s="2"/>
      <c r="H12" s="2"/>
      <c r="I12" s="2"/>
      <c r="J12" s="2"/>
      <c r="K12" s="2"/>
      <c r="L12" s="2"/>
      <c r="M12" s="2"/>
      <c r="N12" s="2"/>
      <c r="O12" t="s">
        <v>51</v>
      </c>
      <c r="R12" s="17"/>
    </row>
    <row r="13" spans="2:18" x14ac:dyDescent="0.35">
      <c r="B13" s="3">
        <v>45855</v>
      </c>
      <c r="C13" s="19" t="s">
        <v>25</v>
      </c>
      <c r="D13" s="19"/>
      <c r="E13" s="19"/>
      <c r="F13" s="19"/>
      <c r="G13" s="2"/>
      <c r="H13" s="2"/>
      <c r="I13" s="2"/>
      <c r="J13" s="2"/>
      <c r="K13" s="2"/>
      <c r="L13" s="2"/>
      <c r="M13" s="2"/>
      <c r="N13" s="2"/>
      <c r="R13" s="17"/>
    </row>
    <row r="14" spans="2:18" x14ac:dyDescent="0.35">
      <c r="B14" s="3">
        <v>45856</v>
      </c>
      <c r="C14" s="19"/>
      <c r="D14" s="19"/>
      <c r="E14" s="19" t="s">
        <v>25</v>
      </c>
      <c r="F14" s="19"/>
      <c r="G14" s="2"/>
      <c r="H14" s="2"/>
      <c r="I14" s="2"/>
      <c r="J14" s="2"/>
      <c r="K14" s="2"/>
      <c r="L14" s="2"/>
      <c r="M14" s="2"/>
      <c r="N14" s="2"/>
      <c r="R14" s="17"/>
    </row>
    <row r="15" spans="2:18" x14ac:dyDescent="0.35">
      <c r="B15" s="3">
        <v>45857</v>
      </c>
      <c r="C15" s="19"/>
      <c r="D15" s="19"/>
      <c r="E15" s="19"/>
      <c r="F15" s="19"/>
      <c r="G15" s="2"/>
      <c r="H15" s="2"/>
      <c r="I15" s="2"/>
      <c r="J15" s="2"/>
      <c r="K15" s="2"/>
      <c r="L15" s="2"/>
      <c r="M15" s="2"/>
      <c r="N15" s="2"/>
      <c r="R15" s="17"/>
    </row>
    <row r="16" spans="2:18" x14ac:dyDescent="0.35">
      <c r="B16" s="3">
        <v>45858</v>
      </c>
      <c r="C16" s="56" t="s">
        <v>4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/>
      <c r="R16" s="17"/>
    </row>
    <row r="17" spans="2:18" x14ac:dyDescent="0.35">
      <c r="B17" s="3">
        <v>45859</v>
      </c>
      <c r="C17" s="72" t="s">
        <v>7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4"/>
      <c r="R17" s="17"/>
    </row>
    <row r="18" spans="2:18" x14ac:dyDescent="0.35">
      <c r="B18" s="3">
        <v>45860</v>
      </c>
      <c r="C18" s="19"/>
      <c r="D18" s="19" t="s">
        <v>53</v>
      </c>
      <c r="E18" s="19"/>
      <c r="F18" s="19"/>
      <c r="G18" s="2"/>
      <c r="H18" s="2"/>
      <c r="I18" s="2"/>
      <c r="J18" s="2"/>
      <c r="K18" s="2"/>
      <c r="L18" s="2"/>
      <c r="M18" s="2"/>
      <c r="N18" s="2"/>
    </row>
    <row r="19" spans="2:18" x14ac:dyDescent="0.35">
      <c r="B19" s="3">
        <v>45861</v>
      </c>
      <c r="C19" s="19"/>
      <c r="D19" s="19"/>
      <c r="E19" s="19"/>
      <c r="F19" s="19" t="s">
        <v>57</v>
      </c>
      <c r="G19" s="2"/>
      <c r="H19" s="2"/>
      <c r="I19" s="2"/>
      <c r="J19" s="2"/>
      <c r="K19" s="2"/>
      <c r="L19" s="2"/>
      <c r="M19" s="2"/>
      <c r="N19" s="2"/>
      <c r="O19" t="s">
        <v>90</v>
      </c>
    </row>
    <row r="20" spans="2:18" x14ac:dyDescent="0.35">
      <c r="B20" s="3">
        <v>45862</v>
      </c>
      <c r="C20" s="19" t="s">
        <v>91</v>
      </c>
      <c r="D20" s="19"/>
      <c r="E20" s="19"/>
      <c r="F20" s="19"/>
      <c r="G20" s="2"/>
      <c r="H20" s="2"/>
      <c r="I20" s="2"/>
      <c r="J20" s="2"/>
      <c r="K20" s="2"/>
      <c r="L20" s="2"/>
      <c r="M20" s="2"/>
      <c r="N20" s="2"/>
    </row>
    <row r="21" spans="2:18" x14ac:dyDescent="0.35">
      <c r="B21" s="3">
        <v>45863</v>
      </c>
      <c r="C21" s="19"/>
      <c r="D21" s="19"/>
      <c r="E21" s="19" t="s">
        <v>92</v>
      </c>
      <c r="F21" s="19"/>
      <c r="G21" s="2"/>
      <c r="H21" s="2"/>
      <c r="I21" s="2"/>
      <c r="J21" s="2"/>
      <c r="K21" s="2"/>
      <c r="L21" s="2"/>
      <c r="M21" s="2"/>
      <c r="N21" s="2"/>
    </row>
    <row r="22" spans="2:18" x14ac:dyDescent="0.35">
      <c r="B22" s="3">
        <v>45864</v>
      </c>
      <c r="C22" s="19"/>
      <c r="D22" s="19"/>
      <c r="E22" s="19"/>
      <c r="F22" s="19"/>
      <c r="G22" s="2"/>
      <c r="H22" s="2"/>
      <c r="I22" s="2"/>
      <c r="J22" s="2"/>
      <c r="K22" s="2"/>
      <c r="L22" s="2"/>
      <c r="M22" s="2"/>
      <c r="N22" s="2"/>
    </row>
    <row r="23" spans="2:18" x14ac:dyDescent="0.35">
      <c r="B23" s="3">
        <v>45865</v>
      </c>
      <c r="C23" s="56" t="s">
        <v>4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8"/>
    </row>
    <row r="24" spans="2:18" x14ac:dyDescent="0.35">
      <c r="B24" s="3">
        <v>45866</v>
      </c>
      <c r="C24" s="19"/>
      <c r="D24" s="19"/>
      <c r="E24" s="19"/>
      <c r="F24" s="19"/>
      <c r="G24" s="2"/>
      <c r="H24" s="2"/>
      <c r="I24" s="2"/>
      <c r="J24" s="2"/>
      <c r="K24" s="2"/>
      <c r="L24" s="2"/>
      <c r="M24" s="2"/>
      <c r="N24" s="2"/>
    </row>
    <row r="25" spans="2:18" x14ac:dyDescent="0.35">
      <c r="B25" s="3">
        <v>45867</v>
      </c>
      <c r="C25" s="19"/>
      <c r="D25" s="19" t="s">
        <v>93</v>
      </c>
      <c r="E25" s="19"/>
      <c r="F25" s="19"/>
      <c r="G25" s="2"/>
      <c r="H25" s="2"/>
      <c r="I25" s="2"/>
      <c r="J25" s="2"/>
      <c r="K25" s="2"/>
      <c r="L25" s="2"/>
      <c r="M25" s="2"/>
      <c r="N25" s="2"/>
    </row>
    <row r="26" spans="2:18" x14ac:dyDescent="0.35">
      <c r="B26" s="3">
        <v>45868</v>
      </c>
      <c r="C26" s="19"/>
      <c r="D26" s="19"/>
      <c r="E26" s="19"/>
      <c r="F26" s="19" t="s">
        <v>25</v>
      </c>
      <c r="G26" s="2"/>
      <c r="H26" s="2"/>
      <c r="I26" s="2"/>
      <c r="J26" s="2"/>
      <c r="K26" s="2"/>
      <c r="L26" s="2"/>
      <c r="M26" s="2"/>
      <c r="N26" s="2"/>
    </row>
    <row r="27" spans="2:18" x14ac:dyDescent="0.35">
      <c r="B27" s="3">
        <v>45869</v>
      </c>
      <c r="C27" s="19" t="s">
        <v>96</v>
      </c>
      <c r="D27" s="19"/>
      <c r="E27" s="19"/>
      <c r="F27" s="19"/>
      <c r="G27" s="2"/>
      <c r="H27" s="2"/>
      <c r="I27" s="2"/>
      <c r="J27" s="2"/>
      <c r="K27" s="2"/>
      <c r="L27" s="2"/>
      <c r="M27" s="2"/>
      <c r="N27" s="2"/>
      <c r="O27" t="s">
        <v>97</v>
      </c>
    </row>
    <row r="28" spans="2:18" x14ac:dyDescent="0.35">
      <c r="B28" s="3">
        <v>45870</v>
      </c>
      <c r="C28" s="19"/>
      <c r="D28" s="19"/>
      <c r="E28" s="19" t="s">
        <v>99</v>
      </c>
      <c r="F28" s="19"/>
      <c r="G28" s="2"/>
      <c r="H28" s="2"/>
      <c r="I28" s="2"/>
      <c r="J28" s="2"/>
      <c r="K28" s="2"/>
      <c r="L28" s="2"/>
      <c r="M28" s="2"/>
      <c r="N28" s="2"/>
      <c r="O28" t="s">
        <v>104</v>
      </c>
    </row>
    <row r="29" spans="2:18" x14ac:dyDescent="0.35">
      <c r="B29" s="3">
        <v>45871</v>
      </c>
      <c r="C29" s="19"/>
      <c r="D29" s="19"/>
      <c r="E29" s="19"/>
      <c r="F29" s="19"/>
      <c r="G29" s="2"/>
      <c r="H29" s="2"/>
      <c r="I29" s="2"/>
      <c r="J29" s="2"/>
      <c r="K29" s="2"/>
      <c r="L29" s="2"/>
      <c r="M29" s="2"/>
      <c r="N29" s="2"/>
    </row>
    <row r="30" spans="2:18" x14ac:dyDescent="0.35">
      <c r="B30" s="3">
        <v>45872</v>
      </c>
      <c r="C30" s="56" t="s">
        <v>4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8"/>
    </row>
    <row r="31" spans="2:18" x14ac:dyDescent="0.35">
      <c r="B31" s="3">
        <v>45873</v>
      </c>
      <c r="C31" s="19"/>
      <c r="D31" s="19"/>
      <c r="E31" s="19"/>
      <c r="F31" s="19"/>
      <c r="G31" s="2"/>
      <c r="H31" s="2"/>
      <c r="I31" s="2"/>
      <c r="J31" s="2"/>
      <c r="K31" s="2"/>
      <c r="L31" s="2"/>
      <c r="M31" s="2"/>
      <c r="N31" s="2"/>
    </row>
    <row r="32" spans="2:18" x14ac:dyDescent="0.35">
      <c r="B32" s="3">
        <v>45874</v>
      </c>
      <c r="C32" s="19"/>
      <c r="D32" s="19" t="s">
        <v>99</v>
      </c>
      <c r="E32" s="19"/>
      <c r="F32" s="19"/>
      <c r="G32" s="2"/>
      <c r="H32" s="2"/>
      <c r="I32" s="2"/>
      <c r="J32" s="2"/>
      <c r="K32" s="2"/>
      <c r="L32" s="2"/>
      <c r="M32" s="2"/>
      <c r="N32" s="2"/>
      <c r="O32" t="s">
        <v>104</v>
      </c>
    </row>
    <row r="33" spans="2:14" x14ac:dyDescent="0.35">
      <c r="B33" s="3">
        <v>45875</v>
      </c>
      <c r="C33" s="19"/>
      <c r="D33" s="19"/>
      <c r="E33" s="19"/>
      <c r="F33" s="19" t="s">
        <v>106</v>
      </c>
      <c r="G33" s="2"/>
      <c r="H33" s="2"/>
      <c r="I33" s="2"/>
      <c r="J33" s="2"/>
      <c r="K33" s="2"/>
      <c r="L33" s="2"/>
      <c r="M33" s="2"/>
      <c r="N33" s="2"/>
    </row>
    <row r="34" spans="2:14" x14ac:dyDescent="0.35">
      <c r="B34" s="3">
        <v>45876</v>
      </c>
      <c r="C34" s="19" t="s">
        <v>107</v>
      </c>
      <c r="D34" s="19"/>
      <c r="E34" s="19"/>
      <c r="F34" s="19"/>
      <c r="G34" s="2"/>
      <c r="H34" s="2"/>
      <c r="I34" s="2"/>
      <c r="J34" s="2"/>
      <c r="K34" s="2"/>
      <c r="L34" s="2"/>
      <c r="M34" s="2"/>
      <c r="N34" s="2"/>
    </row>
    <row r="35" spans="2:14" x14ac:dyDescent="0.35">
      <c r="B35" s="3">
        <v>45877</v>
      </c>
      <c r="C35" s="19"/>
      <c r="D35" s="19"/>
      <c r="E35" s="35" t="s">
        <v>102</v>
      </c>
      <c r="F35" s="19"/>
      <c r="G35" s="2"/>
      <c r="H35" s="2"/>
      <c r="I35" s="2"/>
      <c r="J35" s="2"/>
      <c r="K35" s="2"/>
      <c r="L35" s="2"/>
      <c r="M35" s="2"/>
      <c r="N35" s="2"/>
    </row>
    <row r="36" spans="2:14" x14ac:dyDescent="0.35">
      <c r="B36" s="3">
        <v>45878</v>
      </c>
      <c r="C36" s="19"/>
      <c r="D36" s="19"/>
      <c r="E36" s="19"/>
      <c r="F36" s="19"/>
      <c r="G36" s="2"/>
      <c r="H36" s="2"/>
      <c r="I36" s="2"/>
      <c r="J36" s="2"/>
      <c r="K36" s="2"/>
      <c r="L36" s="2"/>
      <c r="M36" s="2"/>
      <c r="N36" s="2"/>
    </row>
    <row r="37" spans="2:14" x14ac:dyDescent="0.35">
      <c r="B37" s="3">
        <v>45879</v>
      </c>
      <c r="C37" s="56" t="s">
        <v>4</v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8"/>
    </row>
    <row r="38" spans="2:14" x14ac:dyDescent="0.35">
      <c r="B38" s="3">
        <v>45880</v>
      </c>
      <c r="C38" s="19"/>
      <c r="D38" s="19"/>
      <c r="E38" s="19"/>
      <c r="F38" s="19"/>
      <c r="G38" s="2"/>
      <c r="H38" s="2"/>
      <c r="I38" s="2"/>
      <c r="J38" s="2"/>
      <c r="K38" s="2"/>
      <c r="L38" s="2"/>
      <c r="M38" s="2"/>
      <c r="N38" s="2"/>
    </row>
    <row r="39" spans="2:14" x14ac:dyDescent="0.35">
      <c r="B39" s="3">
        <v>45881</v>
      </c>
      <c r="C39" s="19"/>
      <c r="D39" s="39" t="s">
        <v>123</v>
      </c>
      <c r="E39" s="19"/>
      <c r="F39" s="19"/>
      <c r="G39" s="2"/>
      <c r="H39" s="2"/>
      <c r="I39" s="2"/>
      <c r="J39" s="2"/>
      <c r="K39" s="2"/>
      <c r="L39" s="2"/>
      <c r="M39" s="2"/>
      <c r="N39" s="2"/>
    </row>
    <row r="40" spans="2:14" x14ac:dyDescent="0.35">
      <c r="B40" s="3">
        <v>45882</v>
      </c>
      <c r="C40" s="19"/>
      <c r="D40" s="19"/>
      <c r="E40" s="19"/>
      <c r="F40" s="39" t="s">
        <v>87</v>
      </c>
      <c r="G40" s="2"/>
      <c r="H40" s="2"/>
      <c r="I40" s="2"/>
      <c r="J40" s="2"/>
      <c r="K40" s="2"/>
      <c r="L40" s="2"/>
      <c r="M40" s="2"/>
      <c r="N40" s="2"/>
    </row>
    <row r="41" spans="2:14" x14ac:dyDescent="0.35">
      <c r="B41" s="3">
        <v>45883</v>
      </c>
      <c r="C41" s="19" t="s">
        <v>87</v>
      </c>
      <c r="D41" s="19"/>
      <c r="E41" s="19"/>
      <c r="F41" s="19"/>
      <c r="G41" s="2"/>
      <c r="H41" s="2"/>
      <c r="I41" s="2"/>
      <c r="J41" s="2"/>
      <c r="K41" s="2"/>
      <c r="L41" s="2"/>
      <c r="M41" s="2"/>
      <c r="N41" s="2"/>
    </row>
    <row r="42" spans="2:14" x14ac:dyDescent="0.35">
      <c r="B42" s="3">
        <v>45884</v>
      </c>
      <c r="C42" s="72" t="s">
        <v>8</v>
      </c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4"/>
    </row>
    <row r="43" spans="2:14" x14ac:dyDescent="0.35">
      <c r="B43" s="3">
        <v>45885</v>
      </c>
      <c r="C43" s="72" t="s">
        <v>9</v>
      </c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4"/>
    </row>
    <row r="44" spans="2:14" x14ac:dyDescent="0.35">
      <c r="B44" s="3">
        <v>45886</v>
      </c>
      <c r="C44" s="56" t="s">
        <v>4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8"/>
    </row>
    <row r="45" spans="2:14" x14ac:dyDescent="0.35">
      <c r="B45" s="3">
        <v>45887</v>
      </c>
      <c r="C45" s="19"/>
      <c r="D45" s="19"/>
      <c r="E45" s="19"/>
      <c r="F45" s="19"/>
      <c r="G45" s="2"/>
      <c r="H45" s="2"/>
      <c r="I45" s="2"/>
      <c r="J45" s="2"/>
      <c r="K45" s="2"/>
      <c r="L45" s="2"/>
      <c r="M45" s="2"/>
      <c r="N45" s="2"/>
    </row>
    <row r="46" spans="2:14" x14ac:dyDescent="0.35">
      <c r="B46" s="3">
        <v>45888</v>
      </c>
      <c r="C46" s="19"/>
      <c r="D46" s="39" t="s">
        <v>124</v>
      </c>
      <c r="E46" s="19"/>
      <c r="F46" s="19"/>
      <c r="G46" s="2"/>
      <c r="H46" s="2"/>
      <c r="I46" s="2"/>
      <c r="J46" s="2"/>
      <c r="K46" s="2"/>
      <c r="L46" s="2"/>
      <c r="M46" s="2"/>
      <c r="N46" s="2"/>
    </row>
    <row r="47" spans="2:14" x14ac:dyDescent="0.35">
      <c r="B47" s="3">
        <v>45889</v>
      </c>
      <c r="C47" s="19"/>
      <c r="D47" s="19"/>
      <c r="E47" s="19"/>
      <c r="F47" s="39" t="s">
        <v>118</v>
      </c>
      <c r="G47" s="2"/>
      <c r="H47" s="2"/>
      <c r="I47" s="2"/>
      <c r="J47" s="2"/>
      <c r="K47" s="2"/>
      <c r="L47" s="2"/>
      <c r="M47" s="2"/>
      <c r="N47" s="2"/>
    </row>
    <row r="48" spans="2:14" x14ac:dyDescent="0.35">
      <c r="B48" s="3">
        <v>45890</v>
      </c>
      <c r="C48" s="19" t="s">
        <v>118</v>
      </c>
      <c r="D48" s="19"/>
      <c r="E48" s="19"/>
      <c r="F48" s="19"/>
      <c r="G48" s="2"/>
      <c r="H48" s="2"/>
      <c r="I48" s="2"/>
      <c r="J48" s="2"/>
      <c r="K48" s="2"/>
      <c r="L48" s="2"/>
      <c r="M48" s="2"/>
      <c r="N48" s="2"/>
    </row>
    <row r="49" spans="2:15" x14ac:dyDescent="0.35">
      <c r="B49" s="3">
        <v>45891</v>
      </c>
      <c r="C49" s="19"/>
      <c r="D49" s="19"/>
      <c r="E49" s="39" t="s">
        <v>119</v>
      </c>
      <c r="F49" s="19"/>
      <c r="G49" s="2"/>
      <c r="H49" s="2"/>
      <c r="I49" s="2"/>
      <c r="J49" s="2"/>
      <c r="K49" s="2"/>
      <c r="L49" s="2"/>
      <c r="M49" s="2"/>
      <c r="N49" s="2"/>
    </row>
    <row r="50" spans="2:15" x14ac:dyDescent="0.35">
      <c r="B50" s="3">
        <v>45892</v>
      </c>
      <c r="C50" s="19"/>
      <c r="D50" s="19"/>
      <c r="E50" s="19"/>
      <c r="F50" s="19"/>
      <c r="G50" s="2"/>
      <c r="H50" s="2"/>
      <c r="I50" s="2"/>
      <c r="J50" s="2"/>
      <c r="K50" s="2"/>
      <c r="L50" s="2"/>
      <c r="M50" s="2"/>
      <c r="N50" s="2"/>
    </row>
    <row r="51" spans="2:15" x14ac:dyDescent="0.35">
      <c r="B51" s="3">
        <v>45893</v>
      </c>
      <c r="C51" s="56" t="s">
        <v>4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8"/>
    </row>
    <row r="52" spans="2:15" x14ac:dyDescent="0.35">
      <c r="B52" s="3">
        <v>45894</v>
      </c>
      <c r="C52" s="19"/>
      <c r="D52" s="19"/>
      <c r="E52" s="19"/>
      <c r="F52" s="19"/>
      <c r="G52" s="2"/>
      <c r="H52" s="2"/>
      <c r="I52" s="2"/>
      <c r="J52" s="2"/>
      <c r="K52" s="2"/>
      <c r="L52" s="2"/>
      <c r="M52" s="2"/>
      <c r="N52" s="2"/>
    </row>
    <row r="53" spans="2:15" x14ac:dyDescent="0.35">
      <c r="B53" s="3">
        <v>45895</v>
      </c>
      <c r="C53" s="19"/>
      <c r="D53" s="39" t="s">
        <v>126</v>
      </c>
      <c r="E53" s="19"/>
      <c r="F53" s="19"/>
      <c r="G53" s="2"/>
      <c r="H53" s="2"/>
      <c r="I53" s="2"/>
      <c r="J53" s="2"/>
      <c r="K53" s="2"/>
      <c r="L53" s="2"/>
      <c r="M53" s="2"/>
      <c r="N53" s="2"/>
      <c r="O53" t="s">
        <v>127</v>
      </c>
    </row>
    <row r="54" spans="2:15" x14ac:dyDescent="0.35">
      <c r="B54" s="3">
        <v>45896</v>
      </c>
      <c r="C54" s="72" t="s">
        <v>10</v>
      </c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4"/>
    </row>
    <row r="55" spans="2:15" x14ac:dyDescent="0.35">
      <c r="B55" s="3">
        <v>45897</v>
      </c>
      <c r="C55" s="19" t="s">
        <v>115</v>
      </c>
      <c r="D55" s="19"/>
      <c r="E55" s="19"/>
      <c r="F55" s="19"/>
      <c r="G55" s="2"/>
      <c r="H55" s="2"/>
      <c r="I55" s="2"/>
      <c r="J55" s="2"/>
      <c r="K55" s="2"/>
      <c r="L55" s="2"/>
      <c r="M55" s="2"/>
      <c r="N55" s="2"/>
      <c r="O55" t="s">
        <v>116</v>
      </c>
    </row>
    <row r="56" spans="2:15" x14ac:dyDescent="0.35">
      <c r="B56" s="3">
        <v>45898</v>
      </c>
      <c r="C56" s="19"/>
      <c r="D56" s="19"/>
      <c r="E56" s="39" t="s">
        <v>120</v>
      </c>
      <c r="F56" s="19"/>
      <c r="G56" s="2"/>
      <c r="H56" s="2"/>
      <c r="I56" s="2"/>
      <c r="J56" s="2"/>
      <c r="K56" s="2"/>
      <c r="L56" s="2"/>
      <c r="M56" s="2"/>
      <c r="N56" s="2"/>
    </row>
    <row r="57" spans="2:15" x14ac:dyDescent="0.35">
      <c r="B57" s="3">
        <v>45899</v>
      </c>
      <c r="C57" s="19"/>
      <c r="D57" s="19"/>
      <c r="E57" s="19"/>
      <c r="F57" s="19"/>
      <c r="G57" s="2"/>
      <c r="H57" s="2"/>
      <c r="I57" s="2"/>
      <c r="J57" s="2"/>
      <c r="K57" s="2"/>
      <c r="L57" s="2"/>
      <c r="M57" s="2"/>
      <c r="N57" s="2"/>
    </row>
    <row r="58" spans="2:15" x14ac:dyDescent="0.35">
      <c r="B58" s="3">
        <v>45900</v>
      </c>
      <c r="C58" s="56" t="s">
        <v>4</v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8"/>
    </row>
    <row r="59" spans="2:15" x14ac:dyDescent="0.35">
      <c r="B59" s="38">
        <v>45901</v>
      </c>
      <c r="C59" s="84" t="s">
        <v>5</v>
      </c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6"/>
    </row>
    <row r="60" spans="2:15" x14ac:dyDescent="0.35">
      <c r="B60" s="38">
        <v>45902</v>
      </c>
      <c r="C60" s="87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9"/>
    </row>
    <row r="61" spans="2:15" x14ac:dyDescent="0.35">
      <c r="B61" s="38">
        <v>45903</v>
      </c>
      <c r="C61" s="90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2"/>
    </row>
    <row r="62" spans="2:15" x14ac:dyDescent="0.35">
      <c r="B62" s="3">
        <v>45904</v>
      </c>
      <c r="C62" s="37" t="s">
        <v>53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</row>
    <row r="63" spans="2:15" x14ac:dyDescent="0.35">
      <c r="B63" s="3">
        <v>45905</v>
      </c>
      <c r="C63" s="75" t="s">
        <v>113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7"/>
    </row>
    <row r="64" spans="2:15" x14ac:dyDescent="0.35">
      <c r="B64" s="3">
        <v>45906</v>
      </c>
      <c r="C64" s="81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3"/>
    </row>
    <row r="65" spans="2:15" x14ac:dyDescent="0.35">
      <c r="B65" s="3">
        <v>45907</v>
      </c>
      <c r="C65" s="56" t="s">
        <v>4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8"/>
    </row>
    <row r="66" spans="2:15" x14ac:dyDescent="0.35">
      <c r="B66" s="3">
        <v>45908</v>
      </c>
      <c r="C66" s="19"/>
      <c r="D66" s="19"/>
      <c r="E66" s="19"/>
      <c r="F66" s="19"/>
      <c r="G66" s="2"/>
      <c r="H66" s="2"/>
      <c r="I66" s="2"/>
      <c r="J66" s="2"/>
      <c r="K66" s="2"/>
      <c r="L66" s="2"/>
      <c r="M66" s="2"/>
      <c r="N66" s="2"/>
    </row>
    <row r="67" spans="2:15" x14ac:dyDescent="0.35">
      <c r="B67" s="3">
        <v>45909</v>
      </c>
      <c r="C67" s="19"/>
      <c r="D67" s="19" t="s">
        <v>125</v>
      </c>
      <c r="E67" s="19"/>
      <c r="F67" s="19"/>
      <c r="G67" s="2"/>
      <c r="H67" s="2"/>
      <c r="I67" s="2"/>
      <c r="J67" s="2"/>
      <c r="K67" s="2"/>
      <c r="L67" s="2"/>
      <c r="M67" s="2"/>
      <c r="N67" s="2"/>
    </row>
    <row r="68" spans="2:15" x14ac:dyDescent="0.35">
      <c r="B68" s="3">
        <v>45910</v>
      </c>
      <c r="C68" s="19"/>
      <c r="D68" s="19"/>
      <c r="E68" s="19"/>
      <c r="F68" s="19" t="s">
        <v>114</v>
      </c>
      <c r="G68" s="2"/>
      <c r="H68" s="2"/>
      <c r="I68" s="2"/>
      <c r="J68" s="2"/>
      <c r="K68" s="2"/>
      <c r="L68" s="2"/>
      <c r="M68" s="2"/>
      <c r="N68" s="2"/>
    </row>
    <row r="69" spans="2:15" x14ac:dyDescent="0.35">
      <c r="B69" s="3">
        <v>45911</v>
      </c>
      <c r="C69" s="19" t="s">
        <v>108</v>
      </c>
      <c r="D69" s="19"/>
      <c r="E69" s="19"/>
      <c r="F69" s="19"/>
      <c r="G69" s="2"/>
      <c r="H69" s="2"/>
      <c r="I69" s="2"/>
      <c r="J69" s="2"/>
      <c r="K69" s="2"/>
      <c r="L69" s="2"/>
      <c r="M69" s="2"/>
      <c r="N69" s="2"/>
    </row>
    <row r="70" spans="2:15" x14ac:dyDescent="0.35">
      <c r="B70" s="3">
        <v>45912</v>
      </c>
      <c r="C70" s="19"/>
      <c r="D70" s="19"/>
      <c r="E70" s="19" t="s">
        <v>121</v>
      </c>
      <c r="F70" s="19"/>
      <c r="G70" s="2"/>
      <c r="H70" s="2"/>
      <c r="I70" s="2"/>
      <c r="J70" s="2"/>
      <c r="K70" s="2"/>
      <c r="L70" s="2"/>
      <c r="M70" s="2"/>
      <c r="N70" s="2"/>
      <c r="O70" t="s">
        <v>122</v>
      </c>
    </row>
    <row r="71" spans="2:15" x14ac:dyDescent="0.35">
      <c r="B71" s="3">
        <v>45913</v>
      </c>
      <c r="C71" s="19"/>
      <c r="D71" s="19"/>
      <c r="E71" s="19"/>
      <c r="F71" s="19"/>
      <c r="G71" s="2"/>
      <c r="H71" s="2"/>
      <c r="I71" s="2"/>
      <c r="J71" s="2"/>
      <c r="K71" s="2"/>
      <c r="L71" s="2"/>
      <c r="M71" s="2"/>
      <c r="N71" s="2"/>
    </row>
    <row r="72" spans="2:15" x14ac:dyDescent="0.35">
      <c r="B72" s="3">
        <v>45914</v>
      </c>
      <c r="C72" s="56" t="s">
        <v>4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8"/>
    </row>
    <row r="73" spans="2:15" x14ac:dyDescent="0.35">
      <c r="B73" s="3">
        <v>45915</v>
      </c>
      <c r="C73" s="19"/>
      <c r="D73" s="19"/>
      <c r="E73" s="19"/>
      <c r="F73" s="19"/>
      <c r="G73" s="2"/>
      <c r="H73" s="2"/>
      <c r="I73" s="2"/>
      <c r="J73" s="2"/>
      <c r="K73" s="2"/>
      <c r="L73" s="2"/>
      <c r="M73" s="2"/>
      <c r="N73" s="2"/>
    </row>
    <row r="74" spans="2:15" x14ac:dyDescent="0.35">
      <c r="B74" s="3">
        <v>45916</v>
      </c>
      <c r="C74" s="19"/>
      <c r="D74" s="19" t="s">
        <v>128</v>
      </c>
      <c r="E74" s="19"/>
      <c r="F74" s="19"/>
      <c r="G74" s="2"/>
      <c r="H74" s="2"/>
      <c r="I74" s="2"/>
      <c r="J74" s="2"/>
      <c r="K74" s="2"/>
      <c r="L74" s="2"/>
      <c r="M74" s="2"/>
      <c r="N74" s="2"/>
    </row>
    <row r="75" spans="2:15" x14ac:dyDescent="0.35">
      <c r="B75" s="3">
        <v>45917</v>
      </c>
      <c r="C75" s="19"/>
      <c r="D75" s="19"/>
      <c r="E75" s="19"/>
      <c r="F75" s="19" t="s">
        <v>129</v>
      </c>
      <c r="G75" s="2"/>
      <c r="H75" s="2"/>
      <c r="I75" s="2"/>
      <c r="J75" s="2"/>
      <c r="K75" s="2"/>
      <c r="L75" s="2"/>
      <c r="M75" s="2"/>
      <c r="N75" s="2"/>
    </row>
    <row r="76" spans="2:15" x14ac:dyDescent="0.35">
      <c r="B76" s="3">
        <v>45918</v>
      </c>
      <c r="C76" s="19" t="s">
        <v>131</v>
      </c>
      <c r="D76" s="19"/>
      <c r="E76" s="19"/>
      <c r="F76" s="19"/>
      <c r="G76" s="2"/>
      <c r="H76" s="2"/>
      <c r="I76" s="2"/>
      <c r="J76" s="2"/>
      <c r="K76" s="2"/>
      <c r="L76" s="2"/>
      <c r="M76" s="2"/>
      <c r="N76" s="2"/>
    </row>
    <row r="77" spans="2:15" x14ac:dyDescent="0.35">
      <c r="B77" s="3">
        <v>45919</v>
      </c>
      <c r="C77" s="19"/>
      <c r="D77" s="19"/>
      <c r="E77" s="19" t="s">
        <v>132</v>
      </c>
      <c r="F77" s="19" t="s">
        <v>131</v>
      </c>
      <c r="G77" s="2"/>
      <c r="H77" s="2"/>
      <c r="I77" s="2"/>
      <c r="J77" s="2"/>
      <c r="K77" s="2"/>
      <c r="L77" s="2"/>
      <c r="M77" s="2"/>
      <c r="N77" s="2"/>
    </row>
    <row r="78" spans="2:15" x14ac:dyDescent="0.35">
      <c r="B78" s="3">
        <v>45920</v>
      </c>
      <c r="C78" s="19"/>
      <c r="D78" s="19"/>
      <c r="E78" s="19"/>
      <c r="F78" s="19"/>
      <c r="G78" s="2"/>
      <c r="H78" s="2"/>
      <c r="I78" s="2"/>
      <c r="J78" s="2"/>
      <c r="K78" s="2"/>
      <c r="L78" s="2"/>
      <c r="M78" s="2"/>
      <c r="N78" s="2"/>
    </row>
    <row r="79" spans="2:15" x14ac:dyDescent="0.35">
      <c r="B79" s="3">
        <v>45921</v>
      </c>
      <c r="C79" s="56" t="s">
        <v>4</v>
      </c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8"/>
    </row>
    <row r="80" spans="2:15" x14ac:dyDescent="0.35">
      <c r="B80" s="3">
        <v>45922</v>
      </c>
      <c r="C80" s="19"/>
      <c r="D80" s="19"/>
      <c r="E80" s="19"/>
      <c r="F80" s="19"/>
      <c r="G80" s="2"/>
      <c r="H80" s="2"/>
      <c r="I80" s="2"/>
      <c r="J80" s="2"/>
      <c r="K80" s="2"/>
      <c r="L80" s="2"/>
      <c r="M80" s="2"/>
      <c r="N80" s="2"/>
    </row>
    <row r="81" spans="2:14" x14ac:dyDescent="0.35">
      <c r="B81" s="3">
        <v>45923</v>
      </c>
      <c r="C81" s="19"/>
      <c r="D81" s="19" t="s">
        <v>189</v>
      </c>
      <c r="E81" s="19"/>
      <c r="F81" s="19"/>
      <c r="G81" s="2"/>
      <c r="H81" s="2"/>
      <c r="I81" s="2"/>
      <c r="J81" s="2"/>
      <c r="K81" s="2"/>
      <c r="L81" s="2"/>
      <c r="M81" s="2"/>
      <c r="N81" s="2"/>
    </row>
    <row r="82" spans="2:14" x14ac:dyDescent="0.35">
      <c r="B82" s="3">
        <v>45924</v>
      </c>
      <c r="C82" s="19"/>
      <c r="D82" s="19"/>
      <c r="E82" s="19"/>
      <c r="F82" s="19" t="s">
        <v>192</v>
      </c>
      <c r="G82" s="2"/>
      <c r="H82" s="2"/>
      <c r="I82" s="2"/>
      <c r="J82" s="2"/>
      <c r="K82" s="2"/>
      <c r="L82" s="2"/>
      <c r="M82" s="2"/>
      <c r="N82" s="2"/>
    </row>
    <row r="83" spans="2:14" x14ac:dyDescent="0.35">
      <c r="B83" s="3">
        <v>45925</v>
      </c>
      <c r="C83" s="19" t="s">
        <v>192</v>
      </c>
      <c r="D83" s="19"/>
      <c r="E83" s="19"/>
      <c r="F83" s="19"/>
      <c r="G83" s="2"/>
      <c r="H83" s="2"/>
      <c r="I83" s="2"/>
      <c r="J83" s="2"/>
      <c r="K83" s="2"/>
      <c r="L83" s="2"/>
      <c r="M83" s="2"/>
      <c r="N83" s="2"/>
    </row>
    <row r="84" spans="2:14" x14ac:dyDescent="0.35">
      <c r="B84" s="3">
        <v>45926</v>
      </c>
      <c r="C84" s="19"/>
      <c r="D84" s="19"/>
      <c r="E84" s="19" t="s">
        <v>117</v>
      </c>
      <c r="F84" s="19"/>
      <c r="G84" s="2"/>
      <c r="H84" s="2"/>
      <c r="I84" s="2"/>
      <c r="J84" s="2"/>
      <c r="K84" s="2"/>
      <c r="L84" s="2"/>
      <c r="M84" s="2"/>
      <c r="N84" s="2"/>
    </row>
    <row r="85" spans="2:14" x14ac:dyDescent="0.35">
      <c r="B85" s="3">
        <v>45927</v>
      </c>
      <c r="C85" s="19"/>
      <c r="D85" s="19"/>
      <c r="E85" s="19"/>
      <c r="F85" s="19"/>
      <c r="G85" s="2"/>
      <c r="H85" s="2"/>
      <c r="I85" s="2"/>
      <c r="J85" s="2"/>
      <c r="K85" s="2"/>
      <c r="L85" s="2"/>
      <c r="M85" s="2"/>
      <c r="N85" s="2"/>
    </row>
    <row r="86" spans="2:14" x14ac:dyDescent="0.35">
      <c r="B86" s="3">
        <v>45928</v>
      </c>
      <c r="C86" s="56" t="s">
        <v>4</v>
      </c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8"/>
    </row>
    <row r="87" spans="2:14" x14ac:dyDescent="0.35">
      <c r="B87" s="3">
        <v>45929</v>
      </c>
      <c r="C87" s="75" t="s">
        <v>6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7"/>
    </row>
    <row r="88" spans="2:14" x14ac:dyDescent="0.35">
      <c r="B88" s="3">
        <v>45930</v>
      </c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80"/>
    </row>
    <row r="89" spans="2:14" x14ac:dyDescent="0.35">
      <c r="B89" s="3">
        <v>45931</v>
      </c>
      <c r="C89" s="78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80"/>
    </row>
    <row r="90" spans="2:14" x14ac:dyDescent="0.35">
      <c r="B90" s="3">
        <v>45932</v>
      </c>
      <c r="C90" s="78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80"/>
    </row>
    <row r="91" spans="2:14" x14ac:dyDescent="0.35">
      <c r="B91" s="3">
        <v>45933</v>
      </c>
      <c r="C91" s="78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80"/>
    </row>
    <row r="92" spans="2:14" x14ac:dyDescent="0.35">
      <c r="B92" s="3">
        <v>45934</v>
      </c>
      <c r="C92" s="81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3"/>
    </row>
    <row r="93" spans="2:14" x14ac:dyDescent="0.35">
      <c r="B93" s="3">
        <v>45935</v>
      </c>
      <c r="C93" s="56" t="s">
        <v>4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8"/>
    </row>
    <row r="94" spans="2:14" x14ac:dyDescent="0.35">
      <c r="B94" s="3">
        <v>45936</v>
      </c>
      <c r="C94" s="19"/>
      <c r="D94" s="19"/>
      <c r="E94" s="19"/>
      <c r="F94" s="19"/>
      <c r="G94" s="2"/>
      <c r="H94" s="2"/>
      <c r="I94" s="2"/>
      <c r="J94" s="2"/>
      <c r="K94" s="2"/>
      <c r="L94" s="2"/>
      <c r="M94" s="2"/>
      <c r="N94" s="2"/>
    </row>
    <row r="95" spans="2:14" x14ac:dyDescent="0.35">
      <c r="B95" s="3">
        <v>45937</v>
      </c>
      <c r="C95" s="19"/>
      <c r="D95" s="35" t="s">
        <v>102</v>
      </c>
      <c r="E95" s="19"/>
      <c r="F95" s="19"/>
      <c r="G95" s="2"/>
      <c r="H95" s="2"/>
      <c r="I95" s="2"/>
      <c r="J95" s="2"/>
      <c r="K95" s="2"/>
      <c r="L95" s="2"/>
      <c r="M95" s="2"/>
      <c r="N95" s="2"/>
    </row>
    <row r="96" spans="2:14" x14ac:dyDescent="0.35">
      <c r="B96" s="3">
        <v>45938</v>
      </c>
      <c r="C96" s="19"/>
      <c r="D96" s="19"/>
      <c r="E96" s="19"/>
      <c r="F96" s="35" t="s">
        <v>102</v>
      </c>
      <c r="G96" s="2"/>
      <c r="H96" s="2"/>
      <c r="I96" s="2"/>
      <c r="J96" s="2"/>
      <c r="K96" s="2"/>
      <c r="L96" s="2"/>
      <c r="M96" s="2"/>
      <c r="N96" s="2"/>
    </row>
    <row r="97" spans="2:14" x14ac:dyDescent="0.35">
      <c r="B97" s="3">
        <v>45939</v>
      </c>
      <c r="C97" s="35" t="s">
        <v>102</v>
      </c>
      <c r="D97" s="19"/>
      <c r="E97" s="19"/>
      <c r="F97" s="19"/>
      <c r="G97" s="2"/>
      <c r="H97" s="2"/>
      <c r="I97" s="2"/>
      <c r="J97" s="2"/>
      <c r="K97" s="2"/>
      <c r="L97" s="2"/>
      <c r="M97" s="2"/>
      <c r="N97" s="2"/>
    </row>
    <row r="98" spans="2:14" x14ac:dyDescent="0.35">
      <c r="B98" s="3">
        <v>45940</v>
      </c>
      <c r="C98" s="19"/>
      <c r="D98" s="19"/>
      <c r="E98" s="35" t="s">
        <v>102</v>
      </c>
      <c r="F98" s="19"/>
      <c r="G98" s="2"/>
      <c r="H98" s="2"/>
      <c r="I98" s="2"/>
      <c r="J98" s="2"/>
      <c r="K98" s="2"/>
      <c r="L98" s="2"/>
      <c r="M98" s="2"/>
      <c r="N98" s="2"/>
    </row>
    <row r="99" spans="2:14" x14ac:dyDescent="0.35">
      <c r="B99" s="3">
        <v>45941</v>
      </c>
      <c r="C99" s="19"/>
      <c r="D99" s="19"/>
      <c r="E99" s="19"/>
      <c r="F99" s="19"/>
      <c r="G99" s="2"/>
      <c r="H99" s="2"/>
      <c r="I99" s="2"/>
      <c r="J99" s="2"/>
      <c r="K99" s="2"/>
      <c r="L99" s="2"/>
      <c r="M99" s="2"/>
      <c r="N99" s="2"/>
    </row>
    <row r="100" spans="2:14" x14ac:dyDescent="0.35">
      <c r="B100" s="3">
        <v>45942</v>
      </c>
      <c r="C100" s="56" t="s">
        <v>4</v>
      </c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8"/>
    </row>
    <row r="101" spans="2:14" x14ac:dyDescent="0.35">
      <c r="B101" s="3">
        <v>45943</v>
      </c>
      <c r="C101" s="19"/>
      <c r="D101" s="19"/>
      <c r="E101" s="19"/>
      <c r="F101" s="19"/>
      <c r="G101" s="2"/>
      <c r="H101" s="2"/>
      <c r="I101" s="2"/>
      <c r="J101" s="2"/>
      <c r="K101" s="2"/>
      <c r="L101" s="2"/>
      <c r="M101" s="2"/>
      <c r="N101" s="2"/>
    </row>
    <row r="102" spans="2:14" x14ac:dyDescent="0.35">
      <c r="B102" s="3">
        <v>45944</v>
      </c>
      <c r="C102" s="19"/>
      <c r="D102" s="19" t="s">
        <v>193</v>
      </c>
      <c r="E102" s="19"/>
      <c r="F102" s="19"/>
      <c r="G102" s="2"/>
      <c r="H102" s="2"/>
      <c r="I102" s="2"/>
      <c r="J102" s="2"/>
      <c r="K102" s="2"/>
      <c r="L102" s="2"/>
      <c r="M102" s="2"/>
      <c r="N102" s="2"/>
    </row>
    <row r="103" spans="2:14" x14ac:dyDescent="0.35">
      <c r="B103" s="3">
        <v>45945</v>
      </c>
      <c r="C103" s="19"/>
      <c r="D103" s="19"/>
      <c r="E103" s="19"/>
      <c r="F103" s="19" t="s">
        <v>194</v>
      </c>
      <c r="G103" s="2"/>
      <c r="H103" s="2"/>
      <c r="I103" s="2"/>
      <c r="J103" s="2"/>
      <c r="K103" s="2"/>
      <c r="L103" s="2"/>
      <c r="M103" s="2"/>
      <c r="N103" s="2"/>
    </row>
    <row r="104" spans="2:14" x14ac:dyDescent="0.35">
      <c r="B104" s="3">
        <v>45946</v>
      </c>
      <c r="C104" s="19" t="s">
        <v>195</v>
      </c>
      <c r="D104" s="19"/>
      <c r="E104" s="19"/>
      <c r="F104" s="19"/>
      <c r="G104" s="2"/>
      <c r="H104" s="2"/>
      <c r="I104" s="2"/>
      <c r="J104" s="2"/>
      <c r="K104" s="2"/>
      <c r="L104" s="2"/>
      <c r="M104" s="2"/>
      <c r="N104" s="2"/>
    </row>
    <row r="105" spans="2:14" x14ac:dyDescent="0.35">
      <c r="B105" s="3">
        <v>45947</v>
      </c>
      <c r="C105" s="19"/>
      <c r="D105" s="19"/>
      <c r="E105" s="19" t="s">
        <v>123</v>
      </c>
      <c r="F105" s="19"/>
      <c r="G105" s="2"/>
      <c r="H105" s="2"/>
      <c r="I105" s="2"/>
      <c r="J105" s="2"/>
      <c r="K105" s="2"/>
      <c r="L105" s="2"/>
      <c r="M105" s="2"/>
      <c r="N105" s="2"/>
    </row>
    <row r="106" spans="2:14" x14ac:dyDescent="0.35">
      <c r="B106" s="3">
        <v>45948</v>
      </c>
      <c r="C106" s="72" t="s">
        <v>196</v>
      </c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4"/>
    </row>
    <row r="107" spans="2:14" x14ac:dyDescent="0.35">
      <c r="B107" s="3">
        <v>45949</v>
      </c>
      <c r="C107" s="56" t="s">
        <v>4</v>
      </c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8"/>
    </row>
    <row r="108" spans="2:14" x14ac:dyDescent="0.35">
      <c r="B108" s="3">
        <v>45950</v>
      </c>
      <c r="C108" s="72" t="s">
        <v>11</v>
      </c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4"/>
    </row>
    <row r="109" spans="2:14" x14ac:dyDescent="0.35">
      <c r="B109" s="3">
        <v>45951</v>
      </c>
      <c r="C109" s="19"/>
      <c r="D109" s="19" t="s">
        <v>198</v>
      </c>
      <c r="E109" s="19"/>
      <c r="F109" s="19"/>
      <c r="G109" s="2"/>
      <c r="H109" s="2"/>
      <c r="I109" s="2"/>
      <c r="J109" s="2"/>
      <c r="K109" s="2"/>
      <c r="L109" s="2"/>
      <c r="M109" s="2"/>
      <c r="N109" s="2"/>
    </row>
    <row r="110" spans="2:14" x14ac:dyDescent="0.35">
      <c r="B110" s="3">
        <v>45952</v>
      </c>
      <c r="C110" s="19"/>
      <c r="D110" s="19"/>
      <c r="E110" s="19"/>
      <c r="F110" s="19" t="s">
        <v>200</v>
      </c>
      <c r="G110" s="2"/>
      <c r="H110" s="2"/>
      <c r="I110" s="2"/>
      <c r="J110" s="2"/>
      <c r="K110" s="2"/>
      <c r="L110" s="2"/>
      <c r="M110" s="2"/>
      <c r="N110" s="2"/>
    </row>
    <row r="111" spans="2:14" x14ac:dyDescent="0.35">
      <c r="B111" s="3">
        <v>45953</v>
      </c>
      <c r="C111" s="19" t="s">
        <v>200</v>
      </c>
      <c r="D111" s="19"/>
      <c r="E111" s="19"/>
      <c r="F111" s="19"/>
      <c r="G111" s="2"/>
      <c r="H111" s="2"/>
      <c r="I111" s="2"/>
      <c r="J111" s="2"/>
      <c r="K111" s="2"/>
      <c r="L111" s="2"/>
      <c r="M111" s="2"/>
      <c r="N111" s="2"/>
    </row>
    <row r="112" spans="2:14" x14ac:dyDescent="0.35">
      <c r="B112" s="3">
        <v>45954</v>
      </c>
      <c r="C112" s="19"/>
      <c r="D112" s="19"/>
      <c r="E112" s="19" t="s">
        <v>201</v>
      </c>
      <c r="F112" s="19"/>
      <c r="G112" s="2"/>
      <c r="H112" s="2"/>
      <c r="I112" s="2"/>
      <c r="J112" s="2"/>
      <c r="K112" s="2"/>
      <c r="L112" s="2"/>
      <c r="M112" s="2"/>
      <c r="N112" s="2"/>
    </row>
    <row r="113" spans="2:15" x14ac:dyDescent="0.35">
      <c r="B113" s="3">
        <v>45955</v>
      </c>
      <c r="C113" s="19"/>
      <c r="D113" s="19"/>
      <c r="E113" s="19"/>
      <c r="F113" s="19"/>
      <c r="G113" s="2"/>
      <c r="H113" s="2"/>
      <c r="I113" s="2"/>
      <c r="J113" s="2"/>
      <c r="K113" s="2"/>
      <c r="L113" s="2"/>
      <c r="M113" s="2"/>
      <c r="N113" s="2"/>
    </row>
    <row r="114" spans="2:15" x14ac:dyDescent="0.35">
      <c r="B114" s="3">
        <v>45956</v>
      </c>
      <c r="C114" s="56" t="s">
        <v>4</v>
      </c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8"/>
    </row>
    <row r="115" spans="2:15" x14ac:dyDescent="0.35">
      <c r="B115" s="3">
        <v>45957</v>
      </c>
      <c r="C115" s="19"/>
      <c r="D115" s="19"/>
      <c r="E115" s="19"/>
      <c r="F115" s="19"/>
      <c r="G115" s="2"/>
      <c r="H115" s="2"/>
      <c r="I115" s="2"/>
      <c r="J115" s="2"/>
      <c r="K115" s="2"/>
      <c r="L115" s="2"/>
      <c r="M115" s="2"/>
      <c r="N115" s="2"/>
    </row>
    <row r="116" spans="2:15" x14ac:dyDescent="0.35">
      <c r="B116" s="3">
        <v>45958</v>
      </c>
      <c r="C116" s="19"/>
      <c r="D116" s="19" t="s">
        <v>211</v>
      </c>
      <c r="E116" s="19"/>
      <c r="F116" s="19"/>
      <c r="G116" s="2"/>
      <c r="H116" s="2"/>
      <c r="I116" s="2"/>
      <c r="J116" s="2"/>
      <c r="K116" s="2"/>
      <c r="L116" s="2"/>
      <c r="M116" s="2"/>
      <c r="N116" s="2"/>
      <c r="O116" t="s">
        <v>121</v>
      </c>
    </row>
    <row r="117" spans="2:15" x14ac:dyDescent="0.35">
      <c r="B117" s="3">
        <v>45959</v>
      </c>
      <c r="C117" s="19"/>
      <c r="D117" s="19"/>
      <c r="E117" s="19"/>
      <c r="F117" s="19" t="s">
        <v>211</v>
      </c>
      <c r="G117" s="2"/>
      <c r="H117" s="2"/>
      <c r="I117" s="2"/>
      <c r="J117" s="2"/>
      <c r="K117" s="2"/>
      <c r="L117" s="2"/>
      <c r="M117" s="2"/>
      <c r="N117" s="2"/>
    </row>
    <row r="118" spans="2:15" x14ac:dyDescent="0.35">
      <c r="B118" s="3">
        <v>45960</v>
      </c>
      <c r="C118" s="19" t="s">
        <v>117</v>
      </c>
      <c r="D118" s="19"/>
      <c r="E118" s="19"/>
      <c r="F118" s="19"/>
      <c r="G118" s="2"/>
      <c r="H118" s="2"/>
      <c r="I118" s="2"/>
      <c r="J118" s="2"/>
      <c r="K118" s="2"/>
      <c r="L118" s="2"/>
      <c r="M118" s="2"/>
      <c r="N118" s="2"/>
    </row>
    <row r="119" spans="2:15" x14ac:dyDescent="0.35">
      <c r="B119" s="3">
        <v>45961</v>
      </c>
      <c r="C119" s="19"/>
      <c r="D119" s="19"/>
      <c r="E119" s="19" t="s">
        <v>117</v>
      </c>
      <c r="F119" s="19"/>
      <c r="G119" s="2"/>
      <c r="H119" s="2"/>
      <c r="I119" s="2"/>
      <c r="J119" s="2"/>
      <c r="K119" s="2"/>
      <c r="L119" s="2"/>
      <c r="M119" s="2"/>
      <c r="N119" s="2"/>
    </row>
    <row r="120" spans="2:15" x14ac:dyDescent="0.35">
      <c r="B120" s="3">
        <v>45962</v>
      </c>
      <c r="C120" s="19"/>
      <c r="D120" s="19"/>
      <c r="E120" s="19"/>
      <c r="F120" s="19"/>
      <c r="G120" s="2"/>
      <c r="H120" s="2"/>
      <c r="I120" s="2"/>
      <c r="J120" s="2"/>
      <c r="K120" s="2"/>
      <c r="L120" s="2"/>
      <c r="M120" s="2"/>
      <c r="N120" s="2"/>
    </row>
    <row r="121" spans="2:15" x14ac:dyDescent="0.35">
      <c r="B121" s="3">
        <v>45963</v>
      </c>
      <c r="C121" s="56" t="s">
        <v>4</v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8"/>
      <c r="O121" t="s">
        <v>199</v>
      </c>
    </row>
    <row r="122" spans="2:15" x14ac:dyDescent="0.35">
      <c r="B122" s="3">
        <v>45964</v>
      </c>
      <c r="C122" s="19"/>
      <c r="D122" s="19"/>
      <c r="E122" s="19"/>
      <c r="F122" s="19"/>
      <c r="G122" s="2"/>
      <c r="H122" s="2"/>
      <c r="I122" s="2"/>
      <c r="J122" s="2"/>
      <c r="K122" s="2"/>
      <c r="L122" s="2"/>
      <c r="M122" s="2"/>
      <c r="N122" s="2"/>
      <c r="O122" t="s">
        <v>199</v>
      </c>
    </row>
    <row r="123" spans="2:15" x14ac:dyDescent="0.35">
      <c r="B123" s="3">
        <v>45965</v>
      </c>
      <c r="C123" s="19"/>
      <c r="D123" s="19" t="s">
        <v>117</v>
      </c>
      <c r="E123" s="19"/>
      <c r="F123" s="19"/>
      <c r="G123" s="2"/>
      <c r="H123" s="2"/>
      <c r="I123" s="2"/>
      <c r="J123" s="2"/>
      <c r="K123" s="2"/>
      <c r="L123" s="2"/>
      <c r="M123" s="2"/>
      <c r="N123" s="2"/>
      <c r="O123" t="s">
        <v>199</v>
      </c>
    </row>
    <row r="124" spans="2:15" x14ac:dyDescent="0.35">
      <c r="B124" s="3">
        <v>45966</v>
      </c>
      <c r="C124" s="72" t="s">
        <v>12</v>
      </c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4"/>
      <c r="O124" t="s">
        <v>199</v>
      </c>
    </row>
    <row r="125" spans="2:15" x14ac:dyDescent="0.35">
      <c r="B125" s="3">
        <v>45967</v>
      </c>
      <c r="C125" s="19" t="s">
        <v>117</v>
      </c>
      <c r="D125" s="19"/>
      <c r="E125" s="19"/>
      <c r="F125" s="19"/>
      <c r="G125" s="2"/>
      <c r="H125" s="2"/>
      <c r="I125" s="2"/>
      <c r="J125" s="2"/>
      <c r="K125" s="2"/>
      <c r="L125" s="2"/>
      <c r="M125" s="2"/>
      <c r="N125" s="2"/>
      <c r="O125" t="s">
        <v>199</v>
      </c>
    </row>
    <row r="126" spans="2:15" x14ac:dyDescent="0.35">
      <c r="B126" s="3">
        <v>45968</v>
      </c>
      <c r="C126" s="19"/>
      <c r="D126" s="19"/>
      <c r="E126" s="19" t="s">
        <v>117</v>
      </c>
      <c r="F126" s="19"/>
      <c r="G126" s="2"/>
      <c r="H126" s="2"/>
      <c r="I126" s="2"/>
      <c r="J126" s="2"/>
      <c r="K126" s="2"/>
      <c r="L126" s="2"/>
      <c r="M126" s="2"/>
      <c r="N126" s="2"/>
      <c r="O126" t="s">
        <v>199</v>
      </c>
    </row>
    <row r="127" spans="2:15" x14ac:dyDescent="0.35">
      <c r="B127" s="3">
        <v>45969</v>
      </c>
      <c r="C127" s="19"/>
      <c r="D127" s="19"/>
      <c r="E127" s="19"/>
      <c r="F127" s="19"/>
      <c r="G127" s="2"/>
      <c r="H127" s="2"/>
      <c r="I127" s="2"/>
      <c r="J127" s="2"/>
      <c r="K127" s="2"/>
      <c r="L127" s="2"/>
      <c r="M127" s="2"/>
      <c r="N127" s="2"/>
      <c r="O127" t="s">
        <v>199</v>
      </c>
    </row>
    <row r="128" spans="2:15" x14ac:dyDescent="0.35">
      <c r="B128" s="3">
        <v>45970</v>
      </c>
    </row>
    <row r="129" spans="1:4" x14ac:dyDescent="0.35">
      <c r="A129" t="s">
        <v>225</v>
      </c>
      <c r="B129" s="3">
        <v>45971</v>
      </c>
    </row>
    <row r="130" spans="1:4" x14ac:dyDescent="0.35">
      <c r="A130" t="s">
        <v>226</v>
      </c>
      <c r="B130" s="3">
        <v>45972</v>
      </c>
    </row>
    <row r="131" spans="1:4" x14ac:dyDescent="0.35">
      <c r="A131" t="s">
        <v>227</v>
      </c>
      <c r="B131" s="3">
        <v>45973</v>
      </c>
    </row>
    <row r="132" spans="1:4" x14ac:dyDescent="0.35">
      <c r="A132" t="s">
        <v>228</v>
      </c>
      <c r="B132" s="3">
        <v>45974</v>
      </c>
    </row>
    <row r="133" spans="1:4" x14ac:dyDescent="0.35">
      <c r="A133" t="s">
        <v>229</v>
      </c>
      <c r="B133" s="3">
        <v>45975</v>
      </c>
      <c r="D133" s="1" t="s">
        <v>231</v>
      </c>
    </row>
    <row r="134" spans="1:4" x14ac:dyDescent="0.35">
      <c r="A134" t="s">
        <v>230</v>
      </c>
      <c r="B134" s="3">
        <v>45976</v>
      </c>
    </row>
    <row r="135" spans="1:4" x14ac:dyDescent="0.35">
      <c r="A135" t="s">
        <v>4</v>
      </c>
      <c r="B135" s="3">
        <v>45977</v>
      </c>
    </row>
    <row r="136" spans="1:4" x14ac:dyDescent="0.35">
      <c r="A136" t="s">
        <v>225</v>
      </c>
      <c r="B136" s="3">
        <v>45978</v>
      </c>
    </row>
    <row r="137" spans="1:4" x14ac:dyDescent="0.35">
      <c r="A137" t="s">
        <v>226</v>
      </c>
      <c r="B137" s="3">
        <v>45979</v>
      </c>
    </row>
    <row r="138" spans="1:4" x14ac:dyDescent="0.35">
      <c r="A138" t="s">
        <v>227</v>
      </c>
      <c r="B138" s="3">
        <v>45980</v>
      </c>
    </row>
    <row r="139" spans="1:4" x14ac:dyDescent="0.35">
      <c r="A139" t="s">
        <v>228</v>
      </c>
      <c r="B139" s="3">
        <v>45981</v>
      </c>
    </row>
    <row r="140" spans="1:4" x14ac:dyDescent="0.35">
      <c r="A140" t="s">
        <v>229</v>
      </c>
      <c r="B140" s="3">
        <v>45982</v>
      </c>
      <c r="D140" s="1" t="s">
        <v>231</v>
      </c>
    </row>
    <row r="141" spans="1:4" x14ac:dyDescent="0.35">
      <c r="A141" t="s">
        <v>230</v>
      </c>
      <c r="B141" s="3">
        <v>45983</v>
      </c>
    </row>
    <row r="142" spans="1:4" x14ac:dyDescent="0.35">
      <c r="A142" t="s">
        <v>4</v>
      </c>
      <c r="B142" s="3">
        <v>45984</v>
      </c>
    </row>
    <row r="143" spans="1:4" x14ac:dyDescent="0.35">
      <c r="A143" t="s">
        <v>225</v>
      </c>
      <c r="B143" s="3">
        <v>45985</v>
      </c>
    </row>
    <row r="144" spans="1:4" x14ac:dyDescent="0.35">
      <c r="A144" t="s">
        <v>226</v>
      </c>
      <c r="B144" s="3">
        <v>45986</v>
      </c>
    </row>
    <row r="145" spans="1:4" x14ac:dyDescent="0.35">
      <c r="A145" t="s">
        <v>227</v>
      </c>
      <c r="B145" s="3">
        <v>45987</v>
      </c>
    </row>
    <row r="146" spans="1:4" x14ac:dyDescent="0.35">
      <c r="A146" t="s">
        <v>228</v>
      </c>
      <c r="B146" s="3">
        <v>45988</v>
      </c>
    </row>
    <row r="147" spans="1:4" x14ac:dyDescent="0.35">
      <c r="A147" t="s">
        <v>229</v>
      </c>
      <c r="B147" s="3">
        <v>45989</v>
      </c>
      <c r="D147" s="1" t="s">
        <v>231</v>
      </c>
    </row>
    <row r="148" spans="1:4" x14ac:dyDescent="0.35">
      <c r="A148" t="s">
        <v>230</v>
      </c>
      <c r="B148" s="3">
        <v>45990</v>
      </c>
    </row>
    <row r="149" spans="1:4" x14ac:dyDescent="0.35">
      <c r="A149" t="s">
        <v>4</v>
      </c>
      <c r="B149" s="3">
        <v>45991</v>
      </c>
    </row>
  </sheetData>
  <mergeCells count="28">
    <mergeCell ref="C58:N58"/>
    <mergeCell ref="C59:N61"/>
    <mergeCell ref="C63:N64"/>
    <mergeCell ref="C37:N37"/>
    <mergeCell ref="C17:N17"/>
    <mergeCell ref="C42:N42"/>
    <mergeCell ref="C43:N43"/>
    <mergeCell ref="C54:N54"/>
    <mergeCell ref="C44:N44"/>
    <mergeCell ref="C51:N51"/>
    <mergeCell ref="B1:N1"/>
    <mergeCell ref="C9:N9"/>
    <mergeCell ref="C16:N16"/>
    <mergeCell ref="C23:N23"/>
    <mergeCell ref="C30:N30"/>
    <mergeCell ref="C65:N65"/>
    <mergeCell ref="C108:N108"/>
    <mergeCell ref="C124:N124"/>
    <mergeCell ref="C86:N86"/>
    <mergeCell ref="C93:N93"/>
    <mergeCell ref="C100:N100"/>
    <mergeCell ref="C107:N107"/>
    <mergeCell ref="C114:N114"/>
    <mergeCell ref="C121:N121"/>
    <mergeCell ref="C87:N92"/>
    <mergeCell ref="C72:N72"/>
    <mergeCell ref="C79:N79"/>
    <mergeCell ref="C106:N10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G12"/>
  <sheetViews>
    <sheetView workbookViewId="0">
      <selection activeCell="I14" sqref="I14"/>
    </sheetView>
  </sheetViews>
  <sheetFormatPr defaultRowHeight="14.5" x14ac:dyDescent="0.35"/>
  <cols>
    <col min="7" max="7" width="10.08984375" bestFit="1" customWidth="1"/>
  </cols>
  <sheetData>
    <row r="7" spans="5:7" x14ac:dyDescent="0.35">
      <c r="E7" t="s">
        <v>109</v>
      </c>
      <c r="F7">
        <v>45</v>
      </c>
      <c r="G7" s="17">
        <v>45909</v>
      </c>
    </row>
    <row r="8" spans="5:7" x14ac:dyDescent="0.35">
      <c r="E8" t="s">
        <v>110</v>
      </c>
      <c r="F8">
        <v>45</v>
      </c>
      <c r="G8" s="17">
        <v>45911</v>
      </c>
    </row>
    <row r="9" spans="5:7" x14ac:dyDescent="0.35">
      <c r="E9" t="s">
        <v>111</v>
      </c>
      <c r="F9">
        <v>50</v>
      </c>
      <c r="G9" s="17">
        <v>45917</v>
      </c>
    </row>
    <row r="10" spans="5:7" x14ac:dyDescent="0.35">
      <c r="E10" t="s">
        <v>112</v>
      </c>
      <c r="F10">
        <v>45</v>
      </c>
      <c r="G10" s="17">
        <v>45918</v>
      </c>
    </row>
    <row r="11" spans="5:7" x14ac:dyDescent="0.35">
      <c r="E11" t="s">
        <v>135</v>
      </c>
      <c r="F11">
        <v>40</v>
      </c>
      <c r="G11" s="17">
        <v>45919</v>
      </c>
    </row>
    <row r="12" spans="5:7" x14ac:dyDescent="0.35">
      <c r="F12">
        <f>SUM(F7:F11)</f>
        <v>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T26"/>
  <sheetViews>
    <sheetView topLeftCell="E4" workbookViewId="0">
      <selection activeCell="J12" sqref="J12"/>
    </sheetView>
  </sheetViews>
  <sheetFormatPr defaultRowHeight="14.5" x14ac:dyDescent="0.35"/>
  <cols>
    <col min="4" max="4" width="19.81640625" bestFit="1" customWidth="1"/>
    <col min="7" max="7" width="12.453125" bestFit="1" customWidth="1"/>
    <col min="9" max="10" width="8.7265625" style="1"/>
    <col min="13" max="13" width="14.08984375" bestFit="1" customWidth="1"/>
    <col min="17" max="17" width="9.36328125" bestFit="1" customWidth="1"/>
    <col min="18" max="18" width="14.453125" bestFit="1" customWidth="1"/>
    <col min="19" max="19" width="9.36328125" bestFit="1" customWidth="1"/>
  </cols>
  <sheetData>
    <row r="3" spans="4:20" x14ac:dyDescent="0.35">
      <c r="M3" s="1" t="s">
        <v>130</v>
      </c>
    </row>
    <row r="4" spans="4:20" x14ac:dyDescent="0.35">
      <c r="F4" s="1"/>
      <c r="G4" s="1" t="s">
        <v>13</v>
      </c>
      <c r="H4" s="1"/>
      <c r="M4" s="1" t="s">
        <v>105</v>
      </c>
      <c r="R4" t="s">
        <v>101</v>
      </c>
    </row>
    <row r="5" spans="4:20" x14ac:dyDescent="0.35">
      <c r="D5" s="1" t="s">
        <v>13</v>
      </c>
      <c r="G5" s="6" t="s">
        <v>2</v>
      </c>
      <c r="H5" s="6" t="s">
        <v>3</v>
      </c>
      <c r="I5" s="6" t="s">
        <v>21</v>
      </c>
      <c r="J5" s="6" t="s">
        <v>20</v>
      </c>
      <c r="L5" s="6" t="s">
        <v>2</v>
      </c>
      <c r="M5" s="6" t="s">
        <v>3</v>
      </c>
      <c r="N5" s="6" t="s">
        <v>21</v>
      </c>
      <c r="O5" s="6" t="s">
        <v>20</v>
      </c>
      <c r="Q5" s="6" t="s">
        <v>2</v>
      </c>
      <c r="R5" s="6" t="s">
        <v>3</v>
      </c>
      <c r="S5" s="6" t="s">
        <v>21</v>
      </c>
      <c r="T5" s="6" t="s">
        <v>20</v>
      </c>
    </row>
    <row r="6" spans="4:20" x14ac:dyDescent="0.35">
      <c r="D6" s="7" t="s">
        <v>14</v>
      </c>
      <c r="E6" s="14">
        <v>20</v>
      </c>
      <c r="G6" s="16">
        <v>20</v>
      </c>
      <c r="H6" s="20">
        <v>20</v>
      </c>
      <c r="I6" s="20">
        <v>20</v>
      </c>
      <c r="J6" s="20">
        <v>20</v>
      </c>
      <c r="L6" s="19" t="s">
        <v>94</v>
      </c>
      <c r="M6" s="19" t="s">
        <v>94</v>
      </c>
      <c r="N6" s="19" t="s">
        <v>94</v>
      </c>
      <c r="O6" s="19" t="s">
        <v>94</v>
      </c>
      <c r="Q6" s="19" t="s">
        <v>100</v>
      </c>
      <c r="R6" s="19" t="s">
        <v>100</v>
      </c>
      <c r="S6" s="19" t="s">
        <v>100</v>
      </c>
      <c r="T6" s="19" t="s">
        <v>100</v>
      </c>
    </row>
    <row r="7" spans="4:20" x14ac:dyDescent="0.35">
      <c r="D7" s="8" t="s">
        <v>15</v>
      </c>
      <c r="E7" s="14">
        <v>5</v>
      </c>
      <c r="G7" s="15"/>
      <c r="H7" s="21"/>
      <c r="I7" s="19"/>
      <c r="J7" s="19"/>
      <c r="L7" s="19" t="s">
        <v>95</v>
      </c>
      <c r="M7" s="19" t="s">
        <v>95</v>
      </c>
      <c r="N7" s="19" t="s">
        <v>95</v>
      </c>
      <c r="O7" s="19" t="s">
        <v>95</v>
      </c>
      <c r="Q7" s="19"/>
      <c r="R7" s="19"/>
      <c r="S7" s="19"/>
      <c r="T7" s="19"/>
    </row>
    <row r="8" spans="4:20" x14ac:dyDescent="0.35">
      <c r="D8" s="9" t="s">
        <v>16</v>
      </c>
      <c r="E8" s="14">
        <v>17</v>
      </c>
      <c r="G8" s="16">
        <v>17</v>
      </c>
      <c r="H8" s="16">
        <v>17</v>
      </c>
      <c r="I8" s="16">
        <v>17</v>
      </c>
      <c r="J8" s="16">
        <v>17</v>
      </c>
      <c r="L8" s="19" t="s">
        <v>103</v>
      </c>
      <c r="M8" s="19"/>
      <c r="N8" s="19" t="s">
        <v>103</v>
      </c>
      <c r="O8" s="19" t="s">
        <v>103</v>
      </c>
      <c r="Q8" s="2"/>
      <c r="R8" s="2"/>
      <c r="S8" s="2"/>
      <c r="T8" s="2"/>
    </row>
    <row r="9" spans="4:20" x14ac:dyDescent="0.35">
      <c r="D9" s="10" t="s">
        <v>17</v>
      </c>
      <c r="E9" s="14">
        <v>8</v>
      </c>
      <c r="G9" s="15">
        <v>5</v>
      </c>
      <c r="H9" s="21">
        <v>5</v>
      </c>
      <c r="I9" s="19">
        <v>5</v>
      </c>
      <c r="J9" s="19">
        <v>5</v>
      </c>
      <c r="L9" s="19"/>
      <c r="M9" s="19"/>
      <c r="N9" s="19"/>
      <c r="O9" s="19"/>
      <c r="Q9" s="2"/>
      <c r="R9" s="2"/>
      <c r="S9" s="2"/>
      <c r="T9" s="2"/>
    </row>
    <row r="10" spans="4:20" x14ac:dyDescent="0.35">
      <c r="D10" s="11" t="s">
        <v>18</v>
      </c>
      <c r="E10" s="14">
        <v>5</v>
      </c>
      <c r="G10" s="15"/>
      <c r="H10" s="21"/>
      <c r="I10" s="19"/>
      <c r="J10" s="19"/>
      <c r="L10" s="19"/>
      <c r="M10" s="19"/>
      <c r="N10" s="19"/>
      <c r="O10" s="19"/>
      <c r="Q10" s="2"/>
      <c r="R10" s="2"/>
      <c r="S10" s="2"/>
      <c r="T10" s="2"/>
    </row>
    <row r="11" spans="4:20" x14ac:dyDescent="0.35">
      <c r="D11" s="12" t="s">
        <v>19</v>
      </c>
      <c r="E11" s="14">
        <v>3</v>
      </c>
      <c r="G11" s="15"/>
      <c r="H11" s="21"/>
      <c r="I11" s="19"/>
      <c r="J11" s="19"/>
      <c r="L11" s="19"/>
      <c r="M11" s="19"/>
      <c r="N11" s="19"/>
      <c r="O11" s="19"/>
      <c r="Q11" s="2"/>
      <c r="R11" s="2"/>
      <c r="S11" s="2"/>
      <c r="T11" s="2"/>
    </row>
    <row r="12" spans="4:20" x14ac:dyDescent="0.35">
      <c r="E12" s="1">
        <f>SUM(E6:E11)</f>
        <v>58</v>
      </c>
      <c r="G12" s="22">
        <f t="shared" ref="G12:J12" si="0">SUM(G6:G11)</f>
        <v>42</v>
      </c>
      <c r="H12" s="22">
        <f t="shared" si="0"/>
        <v>42</v>
      </c>
      <c r="I12" s="22">
        <f t="shared" si="0"/>
        <v>42</v>
      </c>
      <c r="J12" s="22">
        <f t="shared" si="0"/>
        <v>42</v>
      </c>
      <c r="L12" s="19"/>
      <c r="M12" s="19"/>
      <c r="N12" s="19"/>
      <c r="O12" s="19"/>
      <c r="Q12" s="2"/>
      <c r="R12" s="2"/>
      <c r="S12" s="2"/>
      <c r="T12" s="2"/>
    </row>
    <row r="13" spans="4:20" x14ac:dyDescent="0.35">
      <c r="L13" s="19"/>
      <c r="M13" s="19"/>
      <c r="N13" s="19"/>
      <c r="O13" s="19"/>
      <c r="Q13" s="2"/>
      <c r="R13" s="2"/>
      <c r="S13" s="2"/>
      <c r="T13" s="2"/>
    </row>
    <row r="14" spans="4:20" x14ac:dyDescent="0.35">
      <c r="G14" s="27" t="s">
        <v>40</v>
      </c>
      <c r="H14" s="27" t="s">
        <v>43</v>
      </c>
      <c r="I14" s="27" t="s">
        <v>41</v>
      </c>
      <c r="J14" s="27" t="s">
        <v>42</v>
      </c>
      <c r="L14" s="27" t="s">
        <v>40</v>
      </c>
      <c r="M14" s="27" t="s">
        <v>43</v>
      </c>
      <c r="N14" s="27" t="s">
        <v>41</v>
      </c>
      <c r="O14" s="27" t="s">
        <v>42</v>
      </c>
      <c r="Q14" s="27" t="s">
        <v>40</v>
      </c>
      <c r="R14" s="27" t="s">
        <v>43</v>
      </c>
      <c r="S14" s="27" t="s">
        <v>41</v>
      </c>
      <c r="T14" s="27" t="s">
        <v>42</v>
      </c>
    </row>
    <row r="16" spans="4:20" x14ac:dyDescent="0.35">
      <c r="M16" t="s">
        <v>133</v>
      </c>
      <c r="N16" t="s">
        <v>134</v>
      </c>
    </row>
    <row r="17" spans="12:15" x14ac:dyDescent="0.35">
      <c r="L17" s="6" t="s">
        <v>2</v>
      </c>
      <c r="M17" s="6" t="s">
        <v>3</v>
      </c>
      <c r="N17" s="6" t="s">
        <v>21</v>
      </c>
      <c r="O17" s="6" t="s">
        <v>20</v>
      </c>
    </row>
    <row r="18" spans="12:15" x14ac:dyDescent="0.35">
      <c r="L18" s="19"/>
      <c r="M18" s="19" t="s">
        <v>87</v>
      </c>
      <c r="N18" s="19"/>
      <c r="O18" s="19"/>
    </row>
    <row r="19" spans="12:15" x14ac:dyDescent="0.35">
      <c r="L19" s="19"/>
      <c r="M19" s="19" t="s">
        <v>197</v>
      </c>
      <c r="N19" s="19"/>
      <c r="O19" s="19"/>
    </row>
    <row r="20" spans="12:15" x14ac:dyDescent="0.35">
      <c r="L20" s="19"/>
      <c r="M20" s="19"/>
      <c r="N20" s="19"/>
      <c r="O20" s="19"/>
    </row>
    <row r="21" spans="12:15" x14ac:dyDescent="0.35">
      <c r="L21" s="19"/>
      <c r="M21" s="19"/>
      <c r="N21" s="19"/>
      <c r="O21" s="19"/>
    </row>
    <row r="22" spans="12:15" x14ac:dyDescent="0.35">
      <c r="L22" s="19"/>
      <c r="M22" s="19"/>
      <c r="N22" s="19"/>
      <c r="O22" s="19"/>
    </row>
    <row r="23" spans="12:15" x14ac:dyDescent="0.35">
      <c r="L23" s="19"/>
      <c r="M23" s="19"/>
      <c r="N23" s="19"/>
      <c r="O23" s="19"/>
    </row>
    <row r="24" spans="12:15" x14ac:dyDescent="0.35">
      <c r="L24" s="19"/>
      <c r="M24" s="19"/>
      <c r="N24" s="19"/>
      <c r="O24" s="19"/>
    </row>
    <row r="25" spans="12:15" x14ac:dyDescent="0.35">
      <c r="L25" s="19"/>
      <c r="M25" s="19"/>
      <c r="N25" s="19"/>
      <c r="O25" s="19"/>
    </row>
    <row r="26" spans="12:15" x14ac:dyDescent="0.35">
      <c r="L26" s="27" t="s">
        <v>40</v>
      </c>
      <c r="M26" s="27" t="s">
        <v>43</v>
      </c>
      <c r="N26" s="27" t="s">
        <v>41</v>
      </c>
      <c r="O26" s="27" t="s">
        <v>42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14"/>
  <sheetViews>
    <sheetView topLeftCell="A3" zoomScale="115" zoomScaleNormal="115" workbookViewId="0">
      <selection activeCell="I4" sqref="I4"/>
    </sheetView>
  </sheetViews>
  <sheetFormatPr defaultRowHeight="14.5" x14ac:dyDescent="0.35"/>
  <cols>
    <col min="4" max="4" width="30.90625" bestFit="1" customWidth="1"/>
  </cols>
  <sheetData>
    <row r="4" spans="3:12" x14ac:dyDescent="0.35">
      <c r="D4" s="1" t="s">
        <v>26</v>
      </c>
      <c r="H4" s="6" t="s">
        <v>33</v>
      </c>
      <c r="I4" s="6" t="s">
        <v>2</v>
      </c>
      <c r="J4" s="6" t="s">
        <v>3</v>
      </c>
      <c r="K4" s="6" t="s">
        <v>21</v>
      </c>
      <c r="L4" s="6" t="s">
        <v>20</v>
      </c>
    </row>
    <row r="5" spans="3:12" x14ac:dyDescent="0.35">
      <c r="C5" s="23">
        <v>1</v>
      </c>
      <c r="D5" s="24" t="s">
        <v>27</v>
      </c>
      <c r="E5" s="25">
        <v>5</v>
      </c>
      <c r="G5" s="25">
        <v>5</v>
      </c>
      <c r="H5" s="26" t="s">
        <v>27</v>
      </c>
      <c r="I5" s="30">
        <v>5</v>
      </c>
      <c r="J5" s="30">
        <v>5</v>
      </c>
      <c r="K5" s="30">
        <v>5</v>
      </c>
      <c r="L5" s="30">
        <v>5</v>
      </c>
    </row>
    <row r="6" spans="3:12" x14ac:dyDescent="0.35">
      <c r="C6" s="23">
        <v>2</v>
      </c>
      <c r="D6" s="24" t="s">
        <v>17</v>
      </c>
      <c r="E6" s="25">
        <v>9</v>
      </c>
      <c r="F6" s="1"/>
      <c r="G6" s="25">
        <v>9</v>
      </c>
      <c r="H6" s="26" t="s">
        <v>34</v>
      </c>
      <c r="I6" s="30">
        <v>9</v>
      </c>
      <c r="J6" s="30">
        <v>9</v>
      </c>
      <c r="K6" s="15"/>
      <c r="L6" s="15"/>
    </row>
    <row r="7" spans="3:12" x14ac:dyDescent="0.35">
      <c r="C7" s="23">
        <v>3</v>
      </c>
      <c r="D7" s="24" t="s">
        <v>28</v>
      </c>
      <c r="E7" s="25">
        <v>8</v>
      </c>
      <c r="F7" s="1"/>
      <c r="G7" s="25">
        <v>8</v>
      </c>
      <c r="H7" s="26" t="s">
        <v>35</v>
      </c>
      <c r="I7" s="30">
        <v>8</v>
      </c>
      <c r="J7" s="30">
        <v>8</v>
      </c>
      <c r="K7" s="15"/>
      <c r="L7" s="15"/>
    </row>
    <row r="8" spans="3:12" x14ac:dyDescent="0.35">
      <c r="C8" s="23">
        <v>4</v>
      </c>
      <c r="D8" s="24" t="s">
        <v>29</v>
      </c>
      <c r="E8" s="25">
        <v>7</v>
      </c>
      <c r="F8" s="1"/>
      <c r="G8" s="25">
        <v>7</v>
      </c>
      <c r="H8" s="26" t="s">
        <v>36</v>
      </c>
      <c r="I8" s="30">
        <v>7</v>
      </c>
      <c r="J8" s="30">
        <v>7</v>
      </c>
      <c r="K8" s="30">
        <v>7</v>
      </c>
      <c r="L8" s="30">
        <v>7</v>
      </c>
    </row>
    <row r="9" spans="3:12" x14ac:dyDescent="0.35">
      <c r="C9" s="23">
        <v>5</v>
      </c>
      <c r="D9" s="24" t="s">
        <v>30</v>
      </c>
      <c r="E9" s="25">
        <v>7</v>
      </c>
      <c r="F9" s="1"/>
      <c r="G9" s="25">
        <v>7</v>
      </c>
      <c r="H9" s="26" t="s">
        <v>37</v>
      </c>
      <c r="I9" s="30">
        <v>7</v>
      </c>
      <c r="J9" s="15"/>
      <c r="K9" s="15"/>
      <c r="L9" s="15"/>
    </row>
    <row r="10" spans="3:12" x14ac:dyDescent="0.35">
      <c r="C10" s="23">
        <v>6</v>
      </c>
      <c r="D10" s="24" t="s">
        <v>31</v>
      </c>
      <c r="E10" s="25">
        <v>7</v>
      </c>
      <c r="F10" s="1"/>
      <c r="G10" s="25">
        <v>7</v>
      </c>
      <c r="H10" s="26" t="s">
        <v>38</v>
      </c>
      <c r="I10" s="30">
        <v>7</v>
      </c>
      <c r="J10" s="15"/>
      <c r="K10" s="15"/>
      <c r="L10" s="15"/>
    </row>
    <row r="11" spans="3:12" x14ac:dyDescent="0.35">
      <c r="C11" s="23">
        <v>7</v>
      </c>
      <c r="D11" s="24" t="s">
        <v>32</v>
      </c>
      <c r="E11" s="25">
        <v>7</v>
      </c>
      <c r="F11" s="1"/>
      <c r="G11" s="25">
        <v>7</v>
      </c>
      <c r="H11" s="26" t="s">
        <v>39</v>
      </c>
      <c r="I11" s="30">
        <v>7</v>
      </c>
      <c r="J11" s="30">
        <v>7</v>
      </c>
      <c r="K11" s="30">
        <v>7</v>
      </c>
      <c r="L11" s="30">
        <v>7</v>
      </c>
    </row>
    <row r="12" spans="3:12" x14ac:dyDescent="0.35">
      <c r="E12" s="1">
        <f>SUM(E5:E11)</f>
        <v>50</v>
      </c>
      <c r="F12" s="1"/>
      <c r="G12" s="22">
        <v>50</v>
      </c>
      <c r="I12" s="13">
        <f>SUM(I5:I11)</f>
        <v>50</v>
      </c>
      <c r="J12" s="13">
        <f t="shared" ref="J12:L12" si="0">SUM(J5:J11)</f>
        <v>36</v>
      </c>
      <c r="K12" s="13">
        <f t="shared" si="0"/>
        <v>19</v>
      </c>
      <c r="L12" s="13">
        <f t="shared" si="0"/>
        <v>19</v>
      </c>
    </row>
    <row r="14" spans="3:12" x14ac:dyDescent="0.35">
      <c r="G14" s="1"/>
      <c r="H14" s="1"/>
      <c r="I14" s="27" t="s">
        <v>40</v>
      </c>
      <c r="J14" s="27" t="s">
        <v>43</v>
      </c>
      <c r="K14" s="27" t="s">
        <v>41</v>
      </c>
      <c r="L14" s="27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O15"/>
  <sheetViews>
    <sheetView topLeftCell="B1" workbookViewId="0">
      <selection activeCell="L19" sqref="L19"/>
    </sheetView>
  </sheetViews>
  <sheetFormatPr defaultRowHeight="14.5" x14ac:dyDescent="0.35"/>
  <cols>
    <col min="4" max="4" width="8.7265625" style="1"/>
    <col min="5" max="5" width="24.90625" bestFit="1" customWidth="1"/>
    <col min="12" max="12" width="24.90625" bestFit="1" customWidth="1"/>
    <col min="13" max="13" width="14.26953125" style="1" bestFit="1" customWidth="1"/>
    <col min="14" max="14" width="12" style="1" bestFit="1" customWidth="1"/>
  </cols>
  <sheetData>
    <row r="6" spans="4:15" x14ac:dyDescent="0.35">
      <c r="F6" t="s">
        <v>202</v>
      </c>
    </row>
    <row r="7" spans="4:15" x14ac:dyDescent="0.35">
      <c r="D7" s="19" t="s">
        <v>66</v>
      </c>
      <c r="E7" s="19" t="s">
        <v>209</v>
      </c>
      <c r="F7" s="6" t="s">
        <v>2</v>
      </c>
      <c r="G7" s="6" t="s">
        <v>3</v>
      </c>
      <c r="H7" s="6" t="s">
        <v>21</v>
      </c>
      <c r="I7" s="6" t="s">
        <v>20</v>
      </c>
      <c r="L7" s="25" t="s">
        <v>209</v>
      </c>
      <c r="M7" s="25" t="s">
        <v>210</v>
      </c>
      <c r="N7" s="25" t="s">
        <v>213</v>
      </c>
      <c r="O7" s="25" t="s">
        <v>214</v>
      </c>
    </row>
    <row r="8" spans="4:15" x14ac:dyDescent="0.35">
      <c r="D8" s="19">
        <v>1</v>
      </c>
      <c r="E8" s="2" t="s">
        <v>203</v>
      </c>
      <c r="F8" s="19"/>
      <c r="G8" s="19"/>
      <c r="H8" s="19"/>
      <c r="I8" s="19"/>
      <c r="L8" s="2" t="s">
        <v>203</v>
      </c>
      <c r="M8" s="19">
        <v>120</v>
      </c>
      <c r="N8" s="19">
        <v>26</v>
      </c>
      <c r="O8" s="19">
        <f>M8-N8</f>
        <v>94</v>
      </c>
    </row>
    <row r="9" spans="4:15" x14ac:dyDescent="0.35">
      <c r="D9" s="19">
        <v>2</v>
      </c>
      <c r="E9" s="2" t="s">
        <v>204</v>
      </c>
      <c r="F9" s="19"/>
      <c r="G9" s="19"/>
      <c r="H9" s="19"/>
      <c r="I9" s="19"/>
      <c r="L9" s="48" t="s">
        <v>204</v>
      </c>
      <c r="M9" s="19">
        <v>140</v>
      </c>
      <c r="N9" s="19">
        <v>49</v>
      </c>
      <c r="O9" s="19">
        <f t="shared" ref="O9:O14" si="0">M9-N9</f>
        <v>91</v>
      </c>
    </row>
    <row r="10" spans="4:15" x14ac:dyDescent="0.35">
      <c r="D10" s="19">
        <v>3</v>
      </c>
      <c r="E10" s="2" t="s">
        <v>205</v>
      </c>
      <c r="F10" s="19"/>
      <c r="G10" s="19"/>
      <c r="H10" s="19"/>
      <c r="I10" s="19"/>
      <c r="L10" s="2" t="s">
        <v>205</v>
      </c>
      <c r="M10" s="19">
        <v>92</v>
      </c>
      <c r="N10" s="19">
        <v>53</v>
      </c>
      <c r="O10" s="19">
        <f t="shared" si="0"/>
        <v>39</v>
      </c>
    </row>
    <row r="11" spans="4:15" x14ac:dyDescent="0.35">
      <c r="D11" s="19">
        <v>4</v>
      </c>
      <c r="E11" s="2" t="s">
        <v>206</v>
      </c>
      <c r="F11" s="19"/>
      <c r="G11" s="19"/>
      <c r="H11" s="19"/>
      <c r="I11" s="19"/>
      <c r="L11" s="2" t="s">
        <v>206</v>
      </c>
      <c r="M11" s="19">
        <v>53</v>
      </c>
      <c r="N11" s="19">
        <v>0</v>
      </c>
      <c r="O11" s="19">
        <f t="shared" si="0"/>
        <v>53</v>
      </c>
    </row>
    <row r="12" spans="4:15" x14ac:dyDescent="0.35">
      <c r="D12" s="19">
        <v>5</v>
      </c>
      <c r="E12" s="2" t="s">
        <v>207</v>
      </c>
      <c r="F12" s="19">
        <v>40</v>
      </c>
      <c r="G12" s="19"/>
      <c r="H12" s="19">
        <v>40</v>
      </c>
      <c r="I12" s="19"/>
      <c r="L12" s="2" t="s">
        <v>207</v>
      </c>
      <c r="M12" s="19">
        <v>192</v>
      </c>
      <c r="N12" s="19">
        <v>120</v>
      </c>
      <c r="O12" s="19">
        <f t="shared" si="0"/>
        <v>72</v>
      </c>
    </row>
    <row r="13" spans="4:15" x14ac:dyDescent="0.35">
      <c r="D13" s="19">
        <v>6</v>
      </c>
      <c r="E13" s="2" t="s">
        <v>208</v>
      </c>
      <c r="F13" s="19"/>
      <c r="G13" s="19"/>
      <c r="H13" s="19"/>
      <c r="I13" s="19"/>
      <c r="L13" s="2" t="s">
        <v>208</v>
      </c>
      <c r="M13" s="19">
        <v>70</v>
      </c>
      <c r="N13" s="19">
        <v>0</v>
      </c>
      <c r="O13" s="19">
        <f t="shared" si="0"/>
        <v>70</v>
      </c>
    </row>
    <row r="14" spans="4:15" x14ac:dyDescent="0.35">
      <c r="D14" s="19">
        <v>7</v>
      </c>
      <c r="E14" s="2" t="s">
        <v>212</v>
      </c>
      <c r="F14" s="19">
        <v>17</v>
      </c>
      <c r="G14" s="2"/>
      <c r="H14" s="2"/>
      <c r="I14" s="2"/>
      <c r="L14" s="2" t="s">
        <v>212</v>
      </c>
      <c r="M14" s="19">
        <v>17</v>
      </c>
      <c r="N14" s="19">
        <v>17</v>
      </c>
      <c r="O14" s="19">
        <f t="shared" si="0"/>
        <v>0</v>
      </c>
    </row>
    <row r="15" spans="4:15" x14ac:dyDescent="0.35">
      <c r="M15" s="1">
        <f>SUM(M8:M14)</f>
        <v>684</v>
      </c>
      <c r="N15" s="1">
        <f t="shared" ref="N15:O15" si="1">SUM(N8:N14)</f>
        <v>265</v>
      </c>
      <c r="O15" s="1">
        <f t="shared" si="1"/>
        <v>419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8"/>
  <sheetViews>
    <sheetView workbookViewId="0">
      <selection activeCell="H12" sqref="H12"/>
    </sheetView>
  </sheetViews>
  <sheetFormatPr defaultRowHeight="14.5" x14ac:dyDescent="0.35"/>
  <cols>
    <col min="4" max="4" width="39.90625" bestFit="1" customWidth="1"/>
    <col min="5" max="5" width="16.36328125" bestFit="1" customWidth="1"/>
    <col min="6" max="6" width="28.90625" bestFit="1" customWidth="1"/>
    <col min="9" max="9" width="28.90625" bestFit="1" customWidth="1"/>
  </cols>
  <sheetData>
    <row r="2" spans="3:6" x14ac:dyDescent="0.35">
      <c r="C2" s="32" t="s">
        <v>66</v>
      </c>
      <c r="D2" s="31" t="s">
        <v>63</v>
      </c>
      <c r="E2" s="31" t="s">
        <v>64</v>
      </c>
      <c r="F2" s="31" t="s">
        <v>65</v>
      </c>
    </row>
    <row r="3" spans="3:6" x14ac:dyDescent="0.35">
      <c r="C3" s="19">
        <v>1</v>
      </c>
      <c r="D3" s="46" t="s">
        <v>54</v>
      </c>
      <c r="E3" s="46" t="s">
        <v>67</v>
      </c>
      <c r="F3" s="47" t="s">
        <v>75</v>
      </c>
    </row>
    <row r="4" spans="3:6" x14ac:dyDescent="0.35">
      <c r="C4" s="19">
        <v>2</v>
      </c>
      <c r="D4" s="46" t="s">
        <v>55</v>
      </c>
      <c r="E4" s="46" t="s">
        <v>68</v>
      </c>
      <c r="F4" s="46" t="s">
        <v>76</v>
      </c>
    </row>
    <row r="5" spans="3:6" x14ac:dyDescent="0.35">
      <c r="C5" s="19">
        <v>3</v>
      </c>
      <c r="D5" s="46" t="s">
        <v>56</v>
      </c>
      <c r="E5" s="46" t="s">
        <v>69</v>
      </c>
      <c r="F5" s="46" t="s">
        <v>77</v>
      </c>
    </row>
    <row r="6" spans="3:6" x14ac:dyDescent="0.35">
      <c r="C6" s="19">
        <v>4</v>
      </c>
      <c r="D6" s="46" t="s">
        <v>57</v>
      </c>
      <c r="E6" s="46" t="s">
        <v>70</v>
      </c>
      <c r="F6" s="46" t="s">
        <v>80</v>
      </c>
    </row>
    <row r="7" spans="3:6" x14ac:dyDescent="0.35">
      <c r="C7" s="19">
        <v>5</v>
      </c>
      <c r="D7" s="46" t="s">
        <v>58</v>
      </c>
      <c r="E7" s="46" t="s">
        <v>71</v>
      </c>
      <c r="F7" s="47" t="s">
        <v>82</v>
      </c>
    </row>
    <row r="8" spans="3:6" x14ac:dyDescent="0.35">
      <c r="C8" s="19">
        <v>6</v>
      </c>
      <c r="D8" s="46" t="s">
        <v>59</v>
      </c>
      <c r="E8" s="46" t="s">
        <v>72</v>
      </c>
      <c r="F8" s="44" t="s">
        <v>78</v>
      </c>
    </row>
    <row r="9" spans="3:6" x14ac:dyDescent="0.35">
      <c r="C9" s="19">
        <v>7</v>
      </c>
      <c r="D9" s="46" t="s">
        <v>60</v>
      </c>
      <c r="E9" s="46" t="s">
        <v>73</v>
      </c>
      <c r="F9" s="36" t="s">
        <v>79</v>
      </c>
    </row>
    <row r="10" spans="3:6" x14ac:dyDescent="0.35">
      <c r="C10" s="19">
        <v>8</v>
      </c>
      <c r="D10" s="46" t="s">
        <v>61</v>
      </c>
      <c r="E10" s="46" t="s">
        <v>74</v>
      </c>
      <c r="F10" s="44" t="s">
        <v>83</v>
      </c>
    </row>
    <row r="11" spans="3:6" x14ac:dyDescent="0.35">
      <c r="C11" s="19">
        <v>9</v>
      </c>
      <c r="D11" s="46" t="s">
        <v>62</v>
      </c>
      <c r="E11" s="44"/>
      <c r="F11" s="36" t="s">
        <v>81</v>
      </c>
    </row>
    <row r="12" spans="3:6" x14ac:dyDescent="0.35">
      <c r="C12" s="19">
        <v>10</v>
      </c>
      <c r="D12" s="46" t="s">
        <v>85</v>
      </c>
      <c r="E12" s="44"/>
      <c r="F12" s="44" t="s">
        <v>84</v>
      </c>
    </row>
    <row r="13" spans="3:6" x14ac:dyDescent="0.35">
      <c r="C13" s="19">
        <v>11</v>
      </c>
      <c r="D13" s="46" t="s">
        <v>86</v>
      </c>
      <c r="E13" s="44"/>
      <c r="F13" s="44"/>
    </row>
    <row r="14" spans="3:6" x14ac:dyDescent="0.35">
      <c r="C14" s="19">
        <v>12</v>
      </c>
      <c r="D14" s="46" t="s">
        <v>87</v>
      </c>
      <c r="E14" s="44"/>
      <c r="F14" s="44"/>
    </row>
    <row r="15" spans="3:6" x14ac:dyDescent="0.35">
      <c r="C15" s="19">
        <v>13</v>
      </c>
      <c r="D15" s="46" t="s">
        <v>88</v>
      </c>
      <c r="E15" s="44"/>
      <c r="F15" s="44"/>
    </row>
    <row r="16" spans="3:6" x14ac:dyDescent="0.35">
      <c r="C16" s="19">
        <v>14</v>
      </c>
      <c r="D16" s="46" t="s">
        <v>89</v>
      </c>
      <c r="E16" s="44"/>
      <c r="F16" s="44"/>
    </row>
    <row r="18" spans="4:4" x14ac:dyDescent="0.35">
      <c r="D18" t="s">
        <v>98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8"/>
  <sheetViews>
    <sheetView workbookViewId="0">
      <selection activeCell="I14" sqref="I14"/>
    </sheetView>
  </sheetViews>
  <sheetFormatPr defaultRowHeight="14.5" x14ac:dyDescent="0.35"/>
  <cols>
    <col min="4" max="4" width="39.90625" bestFit="1" customWidth="1"/>
    <col min="5" max="5" width="16.36328125" bestFit="1" customWidth="1"/>
    <col min="6" max="6" width="28.90625" bestFit="1" customWidth="1"/>
    <col min="9" max="9" width="28.90625" bestFit="1" customWidth="1"/>
  </cols>
  <sheetData>
    <row r="2" spans="3:6" x14ac:dyDescent="0.35">
      <c r="C2" s="32" t="s">
        <v>66</v>
      </c>
      <c r="D2" s="31" t="s">
        <v>63</v>
      </c>
      <c r="E2" s="31" t="s">
        <v>64</v>
      </c>
      <c r="F2" s="31" t="s">
        <v>65</v>
      </c>
    </row>
    <row r="3" spans="3:6" x14ac:dyDescent="0.35">
      <c r="C3" s="19">
        <v>1</v>
      </c>
      <c r="D3" s="44" t="s">
        <v>54</v>
      </c>
      <c r="E3" s="44" t="s">
        <v>67</v>
      </c>
      <c r="F3" s="36" t="s">
        <v>75</v>
      </c>
    </row>
    <row r="4" spans="3:6" x14ac:dyDescent="0.35">
      <c r="C4" s="19">
        <v>2</v>
      </c>
      <c r="D4" s="44" t="s">
        <v>55</v>
      </c>
      <c r="E4" s="44" t="s">
        <v>68</v>
      </c>
      <c r="F4" s="44" t="s">
        <v>76</v>
      </c>
    </row>
    <row r="5" spans="3:6" x14ac:dyDescent="0.35">
      <c r="C5" s="19">
        <v>3</v>
      </c>
      <c r="D5" s="44" t="s">
        <v>56</v>
      </c>
      <c r="E5" s="44" t="s">
        <v>69</v>
      </c>
      <c r="F5" s="44" t="s">
        <v>77</v>
      </c>
    </row>
    <row r="6" spans="3:6" x14ac:dyDescent="0.35">
      <c r="C6" s="19">
        <v>4</v>
      </c>
      <c r="D6" s="44" t="s">
        <v>57</v>
      </c>
      <c r="E6" s="44" t="s">
        <v>70</v>
      </c>
      <c r="F6" s="44" t="s">
        <v>80</v>
      </c>
    </row>
    <row r="7" spans="3:6" x14ac:dyDescent="0.35">
      <c r="C7" s="19">
        <v>5</v>
      </c>
      <c r="D7" s="44" t="s">
        <v>58</v>
      </c>
      <c r="E7" s="44" t="s">
        <v>71</v>
      </c>
      <c r="F7" s="36" t="s">
        <v>82</v>
      </c>
    </row>
    <row r="8" spans="3:6" x14ac:dyDescent="0.35">
      <c r="C8" s="19">
        <v>6</v>
      </c>
      <c r="D8" s="44" t="s">
        <v>59</v>
      </c>
      <c r="E8" s="44" t="s">
        <v>72</v>
      </c>
      <c r="F8" s="44" t="s">
        <v>78</v>
      </c>
    </row>
    <row r="9" spans="3:6" x14ac:dyDescent="0.35">
      <c r="C9" s="19">
        <v>7</v>
      </c>
      <c r="D9" s="44" t="s">
        <v>60</v>
      </c>
      <c r="E9" s="44" t="s">
        <v>73</v>
      </c>
      <c r="F9" s="36" t="s">
        <v>79</v>
      </c>
    </row>
    <row r="10" spans="3:6" x14ac:dyDescent="0.35">
      <c r="C10" s="19">
        <v>8</v>
      </c>
      <c r="D10" s="44" t="s">
        <v>61</v>
      </c>
      <c r="E10" s="45" t="s">
        <v>74</v>
      </c>
      <c r="F10" s="44" t="s">
        <v>83</v>
      </c>
    </row>
    <row r="11" spans="3:6" x14ac:dyDescent="0.35">
      <c r="C11" s="19">
        <v>9</v>
      </c>
      <c r="D11" s="44" t="s">
        <v>62</v>
      </c>
      <c r="E11" s="44"/>
      <c r="F11" s="36" t="s">
        <v>81</v>
      </c>
    </row>
    <row r="12" spans="3:6" x14ac:dyDescent="0.35">
      <c r="C12" s="19">
        <v>10</v>
      </c>
      <c r="D12" s="44" t="s">
        <v>85</v>
      </c>
      <c r="E12" s="44"/>
      <c r="F12" s="44" t="s">
        <v>84</v>
      </c>
    </row>
    <row r="13" spans="3:6" x14ac:dyDescent="0.35">
      <c r="C13" s="19">
        <v>11</v>
      </c>
      <c r="D13" s="44" t="s">
        <v>86</v>
      </c>
      <c r="E13" s="44"/>
      <c r="F13" s="44"/>
    </row>
    <row r="14" spans="3:6" x14ac:dyDescent="0.35">
      <c r="C14" s="19">
        <v>12</v>
      </c>
      <c r="D14" s="44" t="s">
        <v>87</v>
      </c>
      <c r="E14" s="44"/>
      <c r="F14" s="44"/>
    </row>
    <row r="15" spans="3:6" x14ac:dyDescent="0.35">
      <c r="C15" s="19">
        <v>13</v>
      </c>
      <c r="D15" s="44" t="s">
        <v>88</v>
      </c>
      <c r="E15" s="44"/>
      <c r="F15" s="44"/>
    </row>
    <row r="16" spans="3:6" x14ac:dyDescent="0.35">
      <c r="C16" s="19">
        <v>14</v>
      </c>
      <c r="D16" s="44" t="s">
        <v>89</v>
      </c>
      <c r="E16" s="44"/>
      <c r="F16" s="44"/>
    </row>
    <row r="18" spans="4:4" x14ac:dyDescent="0.35">
      <c r="D18" t="s">
        <v>98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8"/>
  <sheetViews>
    <sheetView workbookViewId="0">
      <selection activeCell="F3" sqref="F3"/>
    </sheetView>
  </sheetViews>
  <sheetFormatPr defaultRowHeight="14.5" x14ac:dyDescent="0.35"/>
  <cols>
    <col min="4" max="4" width="39.90625" bestFit="1" customWidth="1"/>
    <col min="5" max="5" width="16.36328125" bestFit="1" customWidth="1"/>
    <col min="6" max="6" width="28.90625" bestFit="1" customWidth="1"/>
    <col min="9" max="9" width="28.90625" bestFit="1" customWidth="1"/>
  </cols>
  <sheetData>
    <row r="2" spans="3:6" x14ac:dyDescent="0.35">
      <c r="C2" s="32" t="s">
        <v>66</v>
      </c>
      <c r="D2" s="31" t="s">
        <v>63</v>
      </c>
      <c r="E2" s="31" t="s">
        <v>64</v>
      </c>
      <c r="F2" s="31" t="s">
        <v>65</v>
      </c>
    </row>
    <row r="3" spans="3:6" x14ac:dyDescent="0.35">
      <c r="C3" s="19">
        <v>1</v>
      </c>
      <c r="D3" s="34" t="s">
        <v>54</v>
      </c>
      <c r="E3" s="34" t="s">
        <v>67</v>
      </c>
      <c r="F3" s="33" t="s">
        <v>75</v>
      </c>
    </row>
    <row r="4" spans="3:6" x14ac:dyDescent="0.35">
      <c r="C4" s="19">
        <v>2</v>
      </c>
      <c r="D4" s="34" t="s">
        <v>55</v>
      </c>
      <c r="E4" s="2" t="s">
        <v>68</v>
      </c>
      <c r="F4" s="2" t="s">
        <v>76</v>
      </c>
    </row>
    <row r="5" spans="3:6" x14ac:dyDescent="0.35">
      <c r="C5" s="19">
        <v>3</v>
      </c>
      <c r="D5" s="34" t="s">
        <v>56</v>
      </c>
      <c r="E5" s="2" t="s">
        <v>69</v>
      </c>
      <c r="F5" s="2" t="s">
        <v>77</v>
      </c>
    </row>
    <row r="6" spans="3:6" x14ac:dyDescent="0.35">
      <c r="C6" s="19">
        <v>4</v>
      </c>
      <c r="D6" s="34" t="s">
        <v>57</v>
      </c>
      <c r="E6" s="34" t="s">
        <v>70</v>
      </c>
      <c r="F6" s="34" t="s">
        <v>80</v>
      </c>
    </row>
    <row r="7" spans="3:6" x14ac:dyDescent="0.35">
      <c r="C7" s="19">
        <v>5</v>
      </c>
      <c r="D7" s="34" t="s">
        <v>58</v>
      </c>
      <c r="E7" s="2" t="s">
        <v>71</v>
      </c>
      <c r="F7" s="43" t="s">
        <v>82</v>
      </c>
    </row>
    <row r="8" spans="3:6" x14ac:dyDescent="0.35">
      <c r="C8" s="19">
        <v>6</v>
      </c>
      <c r="D8" s="34" t="s">
        <v>59</v>
      </c>
      <c r="E8" s="2" t="s">
        <v>72</v>
      </c>
      <c r="F8" s="2" t="s">
        <v>78</v>
      </c>
    </row>
    <row r="9" spans="3:6" x14ac:dyDescent="0.35">
      <c r="C9" s="19">
        <v>7</v>
      </c>
      <c r="D9" s="34" t="s">
        <v>60</v>
      </c>
      <c r="E9" s="2" t="s">
        <v>73</v>
      </c>
      <c r="F9" s="33" t="s">
        <v>79</v>
      </c>
    </row>
    <row r="10" spans="3:6" x14ac:dyDescent="0.35">
      <c r="C10" s="19">
        <v>8</v>
      </c>
      <c r="D10" s="34" t="s">
        <v>61</v>
      </c>
      <c r="E10" s="2" t="s">
        <v>74</v>
      </c>
      <c r="F10" s="2" t="s">
        <v>83</v>
      </c>
    </row>
    <row r="11" spans="3:6" x14ac:dyDescent="0.35">
      <c r="C11" s="19">
        <v>9</v>
      </c>
      <c r="D11" s="34" t="s">
        <v>62</v>
      </c>
      <c r="E11" s="2"/>
      <c r="F11" s="33" t="s">
        <v>81</v>
      </c>
    </row>
    <row r="12" spans="3:6" x14ac:dyDescent="0.35">
      <c r="C12" s="19">
        <v>10</v>
      </c>
      <c r="D12" s="34" t="s">
        <v>85</v>
      </c>
      <c r="E12" s="2"/>
      <c r="F12" s="2" t="s">
        <v>84</v>
      </c>
    </row>
    <row r="13" spans="3:6" x14ac:dyDescent="0.35">
      <c r="C13" s="19">
        <v>11</v>
      </c>
      <c r="D13" s="34" t="s">
        <v>86</v>
      </c>
      <c r="E13" s="2"/>
      <c r="F13" s="2"/>
    </row>
    <row r="14" spans="3:6" x14ac:dyDescent="0.35">
      <c r="C14" s="19">
        <v>12</v>
      </c>
      <c r="D14" s="34" t="s">
        <v>87</v>
      </c>
      <c r="E14" s="2"/>
      <c r="F14" s="2"/>
    </row>
    <row r="15" spans="3:6" x14ac:dyDescent="0.35">
      <c r="C15" s="19">
        <v>13</v>
      </c>
      <c r="D15" s="34" t="s">
        <v>88</v>
      </c>
      <c r="E15" s="2"/>
      <c r="F15" s="2"/>
    </row>
    <row r="16" spans="3:6" x14ac:dyDescent="0.35">
      <c r="C16" s="19">
        <v>14</v>
      </c>
      <c r="D16" s="34" t="s">
        <v>89</v>
      </c>
      <c r="E16" s="2"/>
      <c r="F16" s="2"/>
    </row>
    <row r="18" spans="4:4" x14ac:dyDescent="0.35">
      <c r="D18" t="s">
        <v>98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P20" sqref="P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G12"/>
  <sheetViews>
    <sheetView workbookViewId="0">
      <selection activeCell="F13" sqref="F13"/>
    </sheetView>
  </sheetViews>
  <sheetFormatPr defaultRowHeight="14.5" x14ac:dyDescent="0.35"/>
  <cols>
    <col min="6" max="6" width="57.54296875" customWidth="1"/>
  </cols>
  <sheetData>
    <row r="2" spans="5:7" x14ac:dyDescent="0.35">
      <c r="F2" t="s">
        <v>50</v>
      </c>
      <c r="G2">
        <v>98</v>
      </c>
    </row>
    <row r="3" spans="5:7" x14ac:dyDescent="0.35">
      <c r="E3" s="28" t="s">
        <v>46</v>
      </c>
      <c r="G3">
        <v>84</v>
      </c>
    </row>
    <row r="4" spans="5:7" x14ac:dyDescent="0.35">
      <c r="E4" s="28" t="s">
        <v>47</v>
      </c>
      <c r="G4">
        <v>2</v>
      </c>
    </row>
    <row r="5" spans="5:7" x14ac:dyDescent="0.35">
      <c r="E5" s="28" t="s">
        <v>48</v>
      </c>
      <c r="G5">
        <v>580</v>
      </c>
    </row>
    <row r="6" spans="5:7" x14ac:dyDescent="0.35">
      <c r="E6" s="28" t="s">
        <v>49</v>
      </c>
      <c r="G6">
        <v>91</v>
      </c>
    </row>
    <row r="7" spans="5:7" x14ac:dyDescent="0.35">
      <c r="F7" s="29" t="s">
        <v>191</v>
      </c>
    </row>
    <row r="8" spans="5:7" x14ac:dyDescent="0.35">
      <c r="G8">
        <f>SUM(G2:G7)</f>
        <v>855</v>
      </c>
    </row>
    <row r="12" spans="5:7" x14ac:dyDescent="0.35">
      <c r="F12" t="s">
        <v>52</v>
      </c>
    </row>
  </sheetData>
  <hyperlinks>
    <hyperlink ref="E3" r:id="rId1" display="https://leetcode.com/u/Mayuri_Kasetty/"/>
    <hyperlink ref="E4" r:id="rId2" display="https://www.geeksforgeeks.org/user/kmayu71ax/"/>
    <hyperlink ref="E5" r:id="rId3" display="https://www.codechef.com/users/mayuri_kasetty"/>
    <hyperlink ref="E6" r:id="rId4" display="https://www.hackerrank.com/profile/MAYURI_KASETTY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38"/>
  <sheetViews>
    <sheetView topLeftCell="A7" workbookViewId="0">
      <selection activeCell="K16" sqref="K16"/>
    </sheetView>
  </sheetViews>
  <sheetFormatPr defaultRowHeight="14.5" x14ac:dyDescent="0.35"/>
  <cols>
    <col min="1" max="1" width="8.7265625" style="1"/>
    <col min="2" max="2" width="20.81640625" bestFit="1" customWidth="1"/>
    <col min="3" max="3" width="26.81640625" bestFit="1" customWidth="1"/>
    <col min="4" max="4" width="20.6328125" bestFit="1" customWidth="1"/>
    <col min="6" max="6" width="10" style="1" customWidth="1"/>
    <col min="7" max="7" width="5" style="1" bestFit="1" customWidth="1"/>
    <col min="8" max="8" width="8.7265625" style="1"/>
  </cols>
  <sheetData>
    <row r="4" spans="1:8" x14ac:dyDescent="0.35">
      <c r="C4" s="42" t="s">
        <v>188</v>
      </c>
    </row>
    <row r="5" spans="1:8" x14ac:dyDescent="0.35">
      <c r="F5" s="42" t="s">
        <v>185</v>
      </c>
      <c r="G5" s="42" t="s">
        <v>186</v>
      </c>
      <c r="H5" s="42" t="s">
        <v>187</v>
      </c>
    </row>
    <row r="6" spans="1:8" x14ac:dyDescent="0.35">
      <c r="A6" s="42" t="s">
        <v>190</v>
      </c>
      <c r="B6" s="40" t="s">
        <v>137</v>
      </c>
      <c r="C6" s="40" t="s">
        <v>143</v>
      </c>
      <c r="D6" s="40" t="s">
        <v>175</v>
      </c>
      <c r="F6" s="1">
        <v>5</v>
      </c>
      <c r="G6" s="1">
        <v>5</v>
      </c>
      <c r="H6" s="1">
        <f>G6-F6</f>
        <v>0</v>
      </c>
    </row>
    <row r="7" spans="1:8" x14ac:dyDescent="0.35">
      <c r="A7" s="1">
        <v>1</v>
      </c>
      <c r="B7" s="41" t="s">
        <v>138</v>
      </c>
      <c r="C7" s="41" t="s">
        <v>55</v>
      </c>
      <c r="D7" s="41" t="s">
        <v>176</v>
      </c>
      <c r="F7" s="1">
        <v>15</v>
      </c>
      <c r="G7" s="1">
        <v>32</v>
      </c>
      <c r="H7" s="1">
        <f t="shared" ref="H7:H8" si="0">G7-F7</f>
        <v>17</v>
      </c>
    </row>
    <row r="8" spans="1:8" x14ac:dyDescent="0.35">
      <c r="A8" s="1">
        <v>2</v>
      </c>
      <c r="B8" s="41" t="s">
        <v>139</v>
      </c>
      <c r="C8" s="41" t="s">
        <v>144</v>
      </c>
      <c r="D8" s="41" t="s">
        <v>177</v>
      </c>
      <c r="F8" s="1">
        <v>9</v>
      </c>
      <c r="G8" s="1">
        <v>10</v>
      </c>
      <c r="H8" s="1">
        <f t="shared" si="0"/>
        <v>1</v>
      </c>
    </row>
    <row r="9" spans="1:8" x14ac:dyDescent="0.35">
      <c r="A9" s="1">
        <v>3</v>
      </c>
      <c r="B9" s="41" t="s">
        <v>140</v>
      </c>
      <c r="C9" t="s">
        <v>145</v>
      </c>
      <c r="D9" s="41" t="s">
        <v>178</v>
      </c>
    </row>
    <row r="10" spans="1:8" x14ac:dyDescent="0.35">
      <c r="A10" s="1">
        <v>4</v>
      </c>
      <c r="B10" s="41" t="s">
        <v>141</v>
      </c>
      <c r="C10" t="s">
        <v>146</v>
      </c>
      <c r="D10" s="41" t="s">
        <v>179</v>
      </c>
      <c r="F10" s="1">
        <f>SUM(F6:F9)</f>
        <v>29</v>
      </c>
      <c r="G10" s="1">
        <f>SUM(G6:G9)</f>
        <v>47</v>
      </c>
      <c r="H10" s="1">
        <f>G10-F10</f>
        <v>18</v>
      </c>
    </row>
    <row r="11" spans="1:8" x14ac:dyDescent="0.35">
      <c r="A11" s="1">
        <v>5</v>
      </c>
      <c r="B11" s="41" t="s">
        <v>142</v>
      </c>
      <c r="C11" s="41" t="s">
        <v>147</v>
      </c>
      <c r="D11" s="41" t="s">
        <v>180</v>
      </c>
    </row>
    <row r="12" spans="1:8" x14ac:dyDescent="0.35">
      <c r="A12" s="1">
        <v>6</v>
      </c>
      <c r="C12" s="41" t="s">
        <v>148</v>
      </c>
      <c r="D12" s="41" t="s">
        <v>181</v>
      </c>
    </row>
    <row r="13" spans="1:8" x14ac:dyDescent="0.35">
      <c r="A13" s="1">
        <v>7</v>
      </c>
      <c r="C13" s="41" t="s">
        <v>149</v>
      </c>
      <c r="D13" s="41" t="s">
        <v>182</v>
      </c>
    </row>
    <row r="14" spans="1:8" x14ac:dyDescent="0.35">
      <c r="A14" s="1">
        <v>8</v>
      </c>
      <c r="C14" s="41" t="s">
        <v>150</v>
      </c>
      <c r="D14" s="41" t="s">
        <v>136</v>
      </c>
    </row>
    <row r="15" spans="1:8" x14ac:dyDescent="0.35">
      <c r="A15" s="1">
        <v>9</v>
      </c>
      <c r="C15" s="41" t="s">
        <v>151</v>
      </c>
      <c r="D15" s="41" t="s">
        <v>183</v>
      </c>
    </row>
    <row r="16" spans="1:8" x14ac:dyDescent="0.35">
      <c r="A16" s="1">
        <v>10</v>
      </c>
      <c r="C16" s="41" t="s">
        <v>152</v>
      </c>
      <c r="D16" t="s">
        <v>184</v>
      </c>
    </row>
    <row r="17" spans="1:3" x14ac:dyDescent="0.35">
      <c r="A17" s="1">
        <v>11</v>
      </c>
      <c r="C17" s="41" t="s">
        <v>153</v>
      </c>
    </row>
    <row r="18" spans="1:3" x14ac:dyDescent="0.35">
      <c r="A18" s="1">
        <v>12</v>
      </c>
      <c r="C18" s="41" t="s">
        <v>154</v>
      </c>
    </row>
    <row r="19" spans="1:3" x14ac:dyDescent="0.35">
      <c r="A19" s="1">
        <v>13</v>
      </c>
      <c r="C19" s="41" t="s">
        <v>155</v>
      </c>
    </row>
    <row r="20" spans="1:3" x14ac:dyDescent="0.35">
      <c r="A20" s="1">
        <v>14</v>
      </c>
      <c r="C20" s="41" t="s">
        <v>156</v>
      </c>
    </row>
    <row r="21" spans="1:3" x14ac:dyDescent="0.35">
      <c r="A21" s="1">
        <v>15</v>
      </c>
      <c r="C21" s="41" t="s">
        <v>157</v>
      </c>
    </row>
    <row r="22" spans="1:3" x14ac:dyDescent="0.35">
      <c r="A22" s="1">
        <v>16</v>
      </c>
      <c r="C22" s="41" t="s">
        <v>158</v>
      </c>
    </row>
    <row r="23" spans="1:3" x14ac:dyDescent="0.35">
      <c r="A23" s="1">
        <v>17</v>
      </c>
      <c r="C23" s="41" t="s">
        <v>159</v>
      </c>
    </row>
    <row r="24" spans="1:3" x14ac:dyDescent="0.35">
      <c r="A24" s="1">
        <v>18</v>
      </c>
      <c r="C24" t="s">
        <v>160</v>
      </c>
    </row>
    <row r="25" spans="1:3" x14ac:dyDescent="0.35">
      <c r="A25" s="1">
        <v>19</v>
      </c>
      <c r="C25" t="s">
        <v>161</v>
      </c>
    </row>
    <row r="26" spans="1:3" x14ac:dyDescent="0.35">
      <c r="A26" s="1">
        <v>20</v>
      </c>
      <c r="C26" t="s">
        <v>162</v>
      </c>
    </row>
    <row r="27" spans="1:3" x14ac:dyDescent="0.35">
      <c r="A27" s="1">
        <v>21</v>
      </c>
      <c r="C27" t="s">
        <v>163</v>
      </c>
    </row>
    <row r="28" spans="1:3" x14ac:dyDescent="0.35">
      <c r="A28" s="1">
        <v>22</v>
      </c>
      <c r="C28" t="s">
        <v>164</v>
      </c>
    </row>
    <row r="29" spans="1:3" x14ac:dyDescent="0.35">
      <c r="A29" s="1">
        <v>23</v>
      </c>
      <c r="C29" t="s">
        <v>165</v>
      </c>
    </row>
    <row r="30" spans="1:3" x14ac:dyDescent="0.35">
      <c r="A30" s="1">
        <v>24</v>
      </c>
      <c r="C30" t="s">
        <v>166</v>
      </c>
    </row>
    <row r="31" spans="1:3" x14ac:dyDescent="0.35">
      <c r="A31" s="1">
        <v>25</v>
      </c>
      <c r="C31" t="s">
        <v>167</v>
      </c>
    </row>
    <row r="32" spans="1:3" x14ac:dyDescent="0.35">
      <c r="A32" s="1">
        <v>26</v>
      </c>
      <c r="C32" t="s">
        <v>168</v>
      </c>
    </row>
    <row r="33" spans="1:3" x14ac:dyDescent="0.35">
      <c r="A33" s="1">
        <v>27</v>
      </c>
      <c r="C33" t="s">
        <v>169</v>
      </c>
    </row>
    <row r="34" spans="1:3" x14ac:dyDescent="0.35">
      <c r="A34" s="1">
        <v>28</v>
      </c>
      <c r="C34" t="s">
        <v>170</v>
      </c>
    </row>
    <row r="35" spans="1:3" x14ac:dyDescent="0.35">
      <c r="A35" s="1">
        <v>29</v>
      </c>
      <c r="C35" t="s">
        <v>171</v>
      </c>
    </row>
    <row r="36" spans="1:3" x14ac:dyDescent="0.35">
      <c r="A36" s="1">
        <v>30</v>
      </c>
      <c r="C36" t="s">
        <v>172</v>
      </c>
    </row>
    <row r="37" spans="1:3" x14ac:dyDescent="0.35">
      <c r="A37" s="1">
        <v>31</v>
      </c>
      <c r="C37" t="s">
        <v>173</v>
      </c>
    </row>
    <row r="38" spans="1:3" x14ac:dyDescent="0.35">
      <c r="A38" s="1">
        <v>32</v>
      </c>
      <c r="C38" t="s">
        <v>174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TW - JFS</vt:lpstr>
      <vt:lpstr>TT -  VI SEM</vt:lpstr>
      <vt:lpstr>VI SEM</vt:lpstr>
      <vt:lpstr>Weekwise</vt:lpstr>
      <vt:lpstr>V SEM</vt:lpstr>
      <vt:lpstr>V</vt:lpstr>
      <vt:lpstr>HR</vt:lpstr>
      <vt:lpstr>LC</vt:lpstr>
      <vt:lpstr>CC</vt:lpstr>
      <vt:lpstr>Docs</vt:lpstr>
      <vt:lpstr>QUIZ</vt:lpstr>
      <vt:lpstr>TW</vt:lpstr>
      <vt:lpstr>TT</vt:lpstr>
      <vt:lpstr>PLINKS</vt:lpstr>
      <vt:lpstr>CERTIFICATES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Kasetty Mayuri</dc:creator>
  <cp:lastModifiedBy>mayuri</cp:lastModifiedBy>
  <dcterms:created xsi:type="dcterms:W3CDTF">2025-06-10T08:34:52Z</dcterms:created>
  <dcterms:modified xsi:type="dcterms:W3CDTF">2026-02-16T06:40:00Z</dcterms:modified>
</cp:coreProperties>
</file>